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4236\EXCELCNV\0e66cc03-1f8a-4bfc-8986-b40df1f824a7\"/>
    </mc:Choice>
  </mc:AlternateContent>
  <xr:revisionPtr revIDLastSave="0" documentId="8_{F0313D11-70D2-41C7-B5A1-6AD5299B9504}" xr6:coauthVersionLast="47" xr6:coauthVersionMax="47" xr10:uidLastSave="{00000000-0000-0000-0000-000000000000}"/>
  <bookViews>
    <workbookView xWindow="-60" yWindow="-60" windowWidth="15480" windowHeight="11640" xr2:uid="{07245DFC-7738-44DE-88CD-731D2BE8AC7B}"/>
  </bookViews>
  <sheets>
    <sheet name="Sheet 1" sheetId="1" r:id="rId1"/>
  </sheets>
  <definedNames>
    <definedName name="_xlnm._FilterDatabase" localSheetId="0" hidden="1">'Sheet 1'!$A$2:$S$74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3" i="1"/>
</calcChain>
</file>

<file path=xl/sharedStrings.xml><?xml version="1.0" encoding="utf-8"?>
<sst xmlns="http://schemas.openxmlformats.org/spreadsheetml/2006/main" count="92" uniqueCount="26">
  <si>
    <t>2022 COMMUNITY MALARIA DATA</t>
  </si>
  <si>
    <t>Subcounty</t>
  </si>
  <si>
    <t>Month</t>
  </si>
  <si>
    <t>Cases.Fever &lt; 5</t>
  </si>
  <si>
    <t>Cases.Fever &gt;= 5</t>
  </si>
  <si>
    <t>Cases.Fever</t>
  </si>
  <si>
    <t>Cases.Fever.with.RDT.Positive &lt; 5</t>
  </si>
  <si>
    <t>Cases.Fever.with.RDT.Positive &gt;= 5</t>
  </si>
  <si>
    <t>Cases.Fever.with.RDT. negative &lt; 5</t>
  </si>
  <si>
    <t>Cases.Fever.with.RDT. negative &gt;= 5</t>
  </si>
  <si>
    <t>Cases.Fever.with.RDT.Done</t>
  </si>
  <si>
    <t>CHEW Weight band 5 to &lt;15 kg  (&lt;3 yrs)</t>
  </si>
  <si>
    <t>CHEW Weight band 15 to &lt;25 kg  (3 to &lt;8 yrs)</t>
  </si>
  <si>
    <t>CHEW Weight band 25 to &lt;35 kg (8 to &lt;12 yrs)</t>
  </si>
  <si>
    <t>CHEW Weight band ≥ 35 kg (≥ 12 yrs)</t>
  </si>
  <si>
    <t>Cases.Fever.with.RDT.Positive.and.ACT</t>
  </si>
  <si>
    <t>Stock mRDTs</t>
  </si>
  <si>
    <t>Stock ACTs</t>
  </si>
  <si>
    <t>Losses mRDTs</t>
  </si>
  <si>
    <t>Losses ACTs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</si>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</sst>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#######"/>
  </numFmts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0" fontId="3" fillId="2" borderId="1" xfId="0" applyFont="1" applyFill="1" applyBorder="1" applyAlignment="1">
      <alignment wrapText="1"/>
    </xf>
    <xf numFmtId="3" fontId="2" fillId="2" borderId="1" xfId="0" applyNumberFormat="1" applyFont="1" applyFill="1" applyBorder="1"/>
    <xf numFmtId="3" fontId="0" fillId="2" borderId="1" xfId="0" applyNumberForma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951F-29B5-4CA7-853C-F20FA2198E81}">
  <dimension ref="A1:S74"/>
  <sheetViews>
    <sheetView tabSelected="1" workbookViewId="0">
      <pane xSplit="2" ySplit="2" topLeftCell="C3" activePane="bottomRight" state="frozen"/>
      <selection pane="bottomRight" activeCell="A2" sqref="A2:B2"/>
      <selection pane="bottomLeft" activeCell="A3" sqref="A3"/>
      <selection pane="topRight" activeCell="C1" sqref="C1"/>
    </sheetView>
  </sheetViews>
  <sheetFormatPr defaultRowHeight="12.75"/>
  <cols>
    <col min="1" max="1" width="21.85546875" bestFit="1" customWidth="1"/>
    <col min="2" max="2" width="14.28515625" bestFit="1" customWidth="1"/>
    <col min="3" max="3" width="15.5703125" bestFit="1" customWidth="1"/>
    <col min="4" max="4" width="16.85546875" bestFit="1" customWidth="1"/>
    <col min="5" max="5" width="12" bestFit="1" customWidth="1"/>
    <col min="6" max="6" width="20.42578125" bestFit="1" customWidth="1"/>
    <col min="7" max="7" width="21.5703125" bestFit="1" customWidth="1"/>
    <col min="8" max="8" width="20.85546875" bestFit="1" customWidth="1"/>
    <col min="9" max="9" width="22.140625" bestFit="1" customWidth="1"/>
    <col min="10" max="10" width="16.7109375" customWidth="1"/>
    <col min="11" max="11" width="22.140625" customWidth="1"/>
    <col min="12" max="12" width="23.140625" bestFit="1" customWidth="1"/>
    <col min="13" max="13" width="23.140625" customWidth="1"/>
    <col min="14" max="14" width="20.28515625" customWidth="1"/>
    <col min="15" max="15" width="21.140625" customWidth="1"/>
    <col min="16" max="16" width="15.5703125" customWidth="1"/>
    <col min="17" max="17" width="16.42578125" customWidth="1"/>
    <col min="18" max="18" width="16" customWidth="1"/>
    <col min="19" max="19" width="14.85546875" customWidth="1"/>
  </cols>
  <sheetData>
    <row r="1" spans="1:19" ht="18.7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9" ht="47.25">
      <c r="A2" s="4" t="s">
        <v>1</v>
      </c>
      <c r="B2" s="4" t="s">
        <v>2</v>
      </c>
      <c r="C2" s="2" t="s">
        <v>3</v>
      </c>
      <c r="D2" s="2" t="s">
        <v>4</v>
      </c>
      <c r="E2" s="7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7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7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s="1" customFormat="1">
      <c r="A3" s="3" t="s">
        <v>20</v>
      </c>
      <c r="B3" s="3">
        <v>1</v>
      </c>
      <c r="C3" s="5">
        <v>1702</v>
      </c>
      <c r="D3" s="5">
        <v>1296</v>
      </c>
      <c r="E3" s="9">
        <f>SUM(C3:D3)</f>
        <v>2998</v>
      </c>
      <c r="F3" s="5">
        <v>874</v>
      </c>
      <c r="G3" s="5">
        <v>715</v>
      </c>
      <c r="H3" s="5">
        <v>149</v>
      </c>
      <c r="I3" s="5">
        <v>80</v>
      </c>
      <c r="J3" s="9">
        <f>SUM(F3:I3)</f>
        <v>1818</v>
      </c>
      <c r="K3" s="5">
        <v>543</v>
      </c>
      <c r="L3" s="5">
        <v>419</v>
      </c>
      <c r="M3" s="5">
        <v>273</v>
      </c>
      <c r="N3" s="5">
        <v>381</v>
      </c>
      <c r="O3" s="8">
        <f>SUM(K3:N3)</f>
        <v>1616</v>
      </c>
      <c r="P3" s="5">
        <v>2355</v>
      </c>
      <c r="Q3" s="5">
        <v>1296</v>
      </c>
      <c r="R3" s="5">
        <v>27</v>
      </c>
      <c r="S3" s="5">
        <v>46</v>
      </c>
    </row>
    <row r="4" spans="1:19" s="1" customFormat="1">
      <c r="A4" s="3" t="s">
        <v>20</v>
      </c>
      <c r="B4" s="3">
        <v>2</v>
      </c>
      <c r="C4" s="5">
        <v>1382</v>
      </c>
      <c r="D4" s="5">
        <v>1208</v>
      </c>
      <c r="E4" s="9">
        <f t="shared" ref="E4:E67" si="0">SUM(C4:D4)</f>
        <v>2590</v>
      </c>
      <c r="F4" s="5">
        <v>541</v>
      </c>
      <c r="G4" s="5">
        <v>543</v>
      </c>
      <c r="H4" s="5">
        <v>96</v>
      </c>
      <c r="I4" s="5">
        <v>109</v>
      </c>
      <c r="J4" s="9">
        <f t="shared" ref="J4:J67" si="1">SUM(F4:I4)</f>
        <v>1289</v>
      </c>
      <c r="K4" s="5">
        <v>357</v>
      </c>
      <c r="L4" s="5">
        <v>255</v>
      </c>
      <c r="M4" s="5">
        <v>163</v>
      </c>
      <c r="N4" s="5">
        <v>271</v>
      </c>
      <c r="O4" s="8">
        <f t="shared" ref="O4:O67" si="2">SUM(K4:N4)</f>
        <v>1046</v>
      </c>
      <c r="P4" s="5">
        <v>3208</v>
      </c>
      <c r="Q4" s="5">
        <v>2641</v>
      </c>
      <c r="R4" s="5">
        <v>123</v>
      </c>
      <c r="S4" s="5">
        <v>45</v>
      </c>
    </row>
    <row r="5" spans="1:19" s="1" customFormat="1">
      <c r="A5" s="3" t="s">
        <v>20</v>
      </c>
      <c r="B5" s="3">
        <v>3</v>
      </c>
      <c r="C5" s="5">
        <v>1420</v>
      </c>
      <c r="D5" s="5">
        <v>1593</v>
      </c>
      <c r="E5" s="9">
        <f t="shared" si="0"/>
        <v>3013</v>
      </c>
      <c r="F5" s="5">
        <v>555</v>
      </c>
      <c r="G5" s="5">
        <v>867</v>
      </c>
      <c r="H5" s="5">
        <v>170</v>
      </c>
      <c r="I5" s="5">
        <v>156</v>
      </c>
      <c r="J5" s="9">
        <f t="shared" si="1"/>
        <v>1748</v>
      </c>
      <c r="K5" s="5">
        <v>312</v>
      </c>
      <c r="L5" s="5">
        <v>389</v>
      </c>
      <c r="M5" s="5">
        <v>218</v>
      </c>
      <c r="N5" s="5">
        <v>478</v>
      </c>
      <c r="O5" s="8">
        <f t="shared" si="2"/>
        <v>1397</v>
      </c>
      <c r="P5" s="5">
        <v>3644</v>
      </c>
      <c r="Q5" s="5">
        <v>2689</v>
      </c>
      <c r="R5" s="5">
        <v>1</v>
      </c>
      <c r="S5" s="5">
        <v>11</v>
      </c>
    </row>
    <row r="6" spans="1:19" s="1" customFormat="1">
      <c r="A6" s="3" t="s">
        <v>20</v>
      </c>
      <c r="B6" s="3">
        <v>4</v>
      </c>
      <c r="C6" s="5">
        <v>1389</v>
      </c>
      <c r="D6" s="5">
        <v>1297</v>
      </c>
      <c r="E6" s="9">
        <f t="shared" si="0"/>
        <v>2686</v>
      </c>
      <c r="F6" s="5">
        <v>583</v>
      </c>
      <c r="G6" s="5">
        <v>654</v>
      </c>
      <c r="H6" s="5">
        <v>95</v>
      </c>
      <c r="I6" s="5">
        <v>125</v>
      </c>
      <c r="J6" s="9">
        <f t="shared" si="1"/>
        <v>1457</v>
      </c>
      <c r="K6" s="5">
        <v>338</v>
      </c>
      <c r="L6" s="5">
        <v>340</v>
      </c>
      <c r="M6" s="5">
        <v>227</v>
      </c>
      <c r="N6" s="5">
        <v>322</v>
      </c>
      <c r="O6" s="8">
        <f t="shared" si="2"/>
        <v>1227</v>
      </c>
      <c r="P6" s="5">
        <v>2686</v>
      </c>
      <c r="Q6" s="5">
        <v>1580.75</v>
      </c>
      <c r="R6" s="5">
        <v>244</v>
      </c>
      <c r="S6" s="5">
        <v>332</v>
      </c>
    </row>
    <row r="7" spans="1:19" s="1" customFormat="1">
      <c r="A7" s="3" t="s">
        <v>20</v>
      </c>
      <c r="B7" s="3">
        <v>5</v>
      </c>
      <c r="C7" s="5">
        <v>1008</v>
      </c>
      <c r="D7" s="5">
        <v>1103</v>
      </c>
      <c r="E7" s="9">
        <f t="shared" si="0"/>
        <v>2111</v>
      </c>
      <c r="F7" s="5">
        <v>296</v>
      </c>
      <c r="G7" s="5">
        <v>414</v>
      </c>
      <c r="H7" s="5">
        <v>96</v>
      </c>
      <c r="I7" s="5">
        <v>61</v>
      </c>
      <c r="J7" s="9">
        <f t="shared" si="1"/>
        <v>867</v>
      </c>
      <c r="K7" s="5">
        <v>259</v>
      </c>
      <c r="L7" s="5">
        <v>162</v>
      </c>
      <c r="M7" s="5">
        <v>145</v>
      </c>
      <c r="N7" s="5">
        <v>239</v>
      </c>
      <c r="O7" s="8">
        <f t="shared" si="2"/>
        <v>805</v>
      </c>
      <c r="P7" s="5">
        <v>2178</v>
      </c>
      <c r="Q7" s="5">
        <v>1024</v>
      </c>
      <c r="R7" s="5">
        <v>288</v>
      </c>
      <c r="S7" s="5">
        <v>345</v>
      </c>
    </row>
    <row r="8" spans="1:19" s="1" customFormat="1">
      <c r="A8" s="3" t="s">
        <v>20</v>
      </c>
      <c r="B8" s="3">
        <v>6</v>
      </c>
      <c r="C8" s="5">
        <v>1259</v>
      </c>
      <c r="D8" s="5">
        <v>1328</v>
      </c>
      <c r="E8" s="9">
        <f t="shared" si="0"/>
        <v>2587</v>
      </c>
      <c r="F8" s="5">
        <v>397</v>
      </c>
      <c r="G8" s="5">
        <v>474</v>
      </c>
      <c r="H8" s="5">
        <v>134</v>
      </c>
      <c r="I8" s="5">
        <v>159</v>
      </c>
      <c r="J8" s="9">
        <f t="shared" si="1"/>
        <v>1164</v>
      </c>
      <c r="K8" s="5">
        <v>221</v>
      </c>
      <c r="L8" s="5">
        <v>224</v>
      </c>
      <c r="M8" s="5">
        <v>207</v>
      </c>
      <c r="N8" s="5">
        <v>219</v>
      </c>
      <c r="O8" s="8">
        <f t="shared" si="2"/>
        <v>871</v>
      </c>
      <c r="P8" s="5">
        <v>3098</v>
      </c>
      <c r="Q8" s="5">
        <v>2324</v>
      </c>
      <c r="R8" s="5">
        <v>9</v>
      </c>
      <c r="S8" s="5">
        <v>108</v>
      </c>
    </row>
    <row r="9" spans="1:19" s="1" customFormat="1">
      <c r="A9" s="3" t="s">
        <v>20</v>
      </c>
      <c r="B9" s="3">
        <v>7</v>
      </c>
      <c r="C9" s="5">
        <v>1742</v>
      </c>
      <c r="D9" s="5">
        <v>3080</v>
      </c>
      <c r="E9" s="9">
        <f t="shared" si="0"/>
        <v>4822</v>
      </c>
      <c r="F9" s="5">
        <v>1164</v>
      </c>
      <c r="G9" s="5">
        <v>2350</v>
      </c>
      <c r="H9" s="5">
        <v>228</v>
      </c>
      <c r="I9" s="5">
        <v>259</v>
      </c>
      <c r="J9" s="9">
        <f t="shared" si="1"/>
        <v>4001</v>
      </c>
      <c r="K9" s="5">
        <v>602</v>
      </c>
      <c r="L9" s="5">
        <v>802</v>
      </c>
      <c r="M9" s="5">
        <v>669</v>
      </c>
      <c r="N9" s="5">
        <v>1442</v>
      </c>
      <c r="O9" s="8">
        <f t="shared" si="2"/>
        <v>3515</v>
      </c>
      <c r="P9" s="5">
        <v>7148</v>
      </c>
      <c r="Q9" s="5">
        <v>7653</v>
      </c>
      <c r="R9" s="5">
        <v>407</v>
      </c>
      <c r="S9" s="5">
        <v>11</v>
      </c>
    </row>
    <row r="10" spans="1:19" s="1" customFormat="1">
      <c r="A10" s="3" t="s">
        <v>20</v>
      </c>
      <c r="B10" s="3">
        <v>8</v>
      </c>
      <c r="C10" s="5">
        <v>1859</v>
      </c>
      <c r="D10" s="5">
        <v>3352</v>
      </c>
      <c r="E10" s="9">
        <f t="shared" si="0"/>
        <v>5211</v>
      </c>
      <c r="F10" s="5">
        <v>1349</v>
      </c>
      <c r="G10" s="5">
        <v>2797</v>
      </c>
      <c r="H10" s="5">
        <v>257</v>
      </c>
      <c r="I10" s="5">
        <v>270</v>
      </c>
      <c r="J10" s="9">
        <f t="shared" si="1"/>
        <v>4673</v>
      </c>
      <c r="K10" s="5">
        <v>573</v>
      </c>
      <c r="L10" s="5">
        <v>981</v>
      </c>
      <c r="M10" s="5">
        <v>1333</v>
      </c>
      <c r="N10" s="5">
        <v>1579</v>
      </c>
      <c r="O10" s="8">
        <f t="shared" si="2"/>
        <v>4466</v>
      </c>
      <c r="P10" s="5">
        <v>4811</v>
      </c>
      <c r="Q10" s="5">
        <v>5969</v>
      </c>
      <c r="R10" s="5">
        <v>551</v>
      </c>
      <c r="S10" s="5">
        <v>44</v>
      </c>
    </row>
    <row r="11" spans="1:19" s="1" customFormat="1">
      <c r="A11" s="3" t="s">
        <v>20</v>
      </c>
      <c r="B11" s="3">
        <v>9</v>
      </c>
      <c r="C11" s="5">
        <v>1788</v>
      </c>
      <c r="D11" s="5">
        <v>2652</v>
      </c>
      <c r="E11" s="9">
        <f t="shared" si="0"/>
        <v>4440</v>
      </c>
      <c r="F11" s="5">
        <v>1276</v>
      </c>
      <c r="G11" s="5">
        <v>2009</v>
      </c>
      <c r="H11" s="5">
        <v>233</v>
      </c>
      <c r="I11" s="5">
        <v>307</v>
      </c>
      <c r="J11" s="9">
        <f t="shared" si="1"/>
        <v>3825</v>
      </c>
      <c r="K11" s="5">
        <v>704</v>
      </c>
      <c r="L11" s="5">
        <v>814</v>
      </c>
      <c r="M11" s="5">
        <v>646</v>
      </c>
      <c r="N11" s="5">
        <v>1121</v>
      </c>
      <c r="O11" s="8">
        <f t="shared" si="2"/>
        <v>3285</v>
      </c>
      <c r="P11" s="5">
        <v>4051</v>
      </c>
      <c r="Q11" s="5">
        <v>5422.5</v>
      </c>
      <c r="R11" s="5">
        <v>94</v>
      </c>
      <c r="S11" s="5">
        <v>148</v>
      </c>
    </row>
    <row r="12" spans="1:19" s="1" customFormat="1">
      <c r="A12" s="3" t="s">
        <v>20</v>
      </c>
      <c r="B12" s="3">
        <v>10</v>
      </c>
      <c r="C12" s="5">
        <v>1254</v>
      </c>
      <c r="D12" s="5">
        <v>1854</v>
      </c>
      <c r="E12" s="9">
        <f t="shared" si="0"/>
        <v>3108</v>
      </c>
      <c r="F12" s="5">
        <v>805</v>
      </c>
      <c r="G12" s="5">
        <v>1374</v>
      </c>
      <c r="H12" s="5">
        <v>140</v>
      </c>
      <c r="I12" s="5">
        <v>194</v>
      </c>
      <c r="J12" s="9">
        <f t="shared" si="1"/>
        <v>2513</v>
      </c>
      <c r="K12" s="5">
        <v>431</v>
      </c>
      <c r="L12" s="5">
        <v>527</v>
      </c>
      <c r="M12" s="5">
        <v>393</v>
      </c>
      <c r="N12" s="5">
        <v>826</v>
      </c>
      <c r="O12" s="8">
        <f t="shared" si="2"/>
        <v>2177</v>
      </c>
      <c r="P12" s="5">
        <v>3473</v>
      </c>
      <c r="Q12" s="5">
        <v>4264</v>
      </c>
      <c r="R12" s="5">
        <v>48</v>
      </c>
      <c r="S12" s="5">
        <v>494</v>
      </c>
    </row>
    <row r="13" spans="1:19" s="1" customFormat="1">
      <c r="A13" s="3" t="s">
        <v>20</v>
      </c>
      <c r="B13" s="3">
        <v>11</v>
      </c>
      <c r="C13" s="5">
        <v>1761</v>
      </c>
      <c r="D13" s="5">
        <v>2318</v>
      </c>
      <c r="E13" s="9">
        <f t="shared" si="0"/>
        <v>4079</v>
      </c>
      <c r="F13" s="5">
        <v>1254</v>
      </c>
      <c r="G13" s="5">
        <v>1736</v>
      </c>
      <c r="H13" s="5">
        <v>189</v>
      </c>
      <c r="I13" s="5">
        <v>183</v>
      </c>
      <c r="J13" s="9">
        <f t="shared" si="1"/>
        <v>3362</v>
      </c>
      <c r="K13" s="5">
        <v>681</v>
      </c>
      <c r="L13" s="5">
        <v>700</v>
      </c>
      <c r="M13" s="5">
        <v>519</v>
      </c>
      <c r="N13" s="5">
        <v>955</v>
      </c>
      <c r="O13" s="8">
        <f t="shared" si="2"/>
        <v>2855</v>
      </c>
      <c r="P13" s="5">
        <v>4251</v>
      </c>
      <c r="Q13" s="5">
        <v>5901.5</v>
      </c>
      <c r="R13" s="5">
        <v>327</v>
      </c>
      <c r="S13" s="5">
        <v>479.75</v>
      </c>
    </row>
    <row r="14" spans="1:19" s="1" customFormat="1">
      <c r="A14" s="3" t="s">
        <v>20</v>
      </c>
      <c r="B14" s="3">
        <v>12</v>
      </c>
      <c r="C14" s="5">
        <v>1381</v>
      </c>
      <c r="D14" s="5">
        <v>2039</v>
      </c>
      <c r="E14" s="9">
        <f t="shared" si="0"/>
        <v>3420</v>
      </c>
      <c r="F14" s="5">
        <v>1029</v>
      </c>
      <c r="G14" s="5">
        <v>1590</v>
      </c>
      <c r="H14" s="5">
        <v>128</v>
      </c>
      <c r="I14" s="5">
        <v>148</v>
      </c>
      <c r="J14" s="9">
        <f t="shared" si="1"/>
        <v>2895</v>
      </c>
      <c r="K14" s="5">
        <v>654</v>
      </c>
      <c r="L14" s="5">
        <v>599</v>
      </c>
      <c r="M14" s="5">
        <v>402</v>
      </c>
      <c r="N14" s="5">
        <v>971</v>
      </c>
      <c r="O14" s="8">
        <f t="shared" si="2"/>
        <v>2626</v>
      </c>
      <c r="P14" s="5">
        <v>3487</v>
      </c>
      <c r="Q14" s="5">
        <v>4620.92</v>
      </c>
      <c r="R14" s="5">
        <v>14</v>
      </c>
      <c r="S14" s="5">
        <v>19.75</v>
      </c>
    </row>
    <row r="15" spans="1:19" s="1" customFormat="1">
      <c r="A15" s="3" t="s">
        <v>21</v>
      </c>
      <c r="B15" s="3">
        <v>1</v>
      </c>
      <c r="C15" s="5">
        <v>1261</v>
      </c>
      <c r="D15" s="5">
        <v>1337</v>
      </c>
      <c r="E15" s="9">
        <f t="shared" si="0"/>
        <v>2598</v>
      </c>
      <c r="F15" s="5">
        <v>942</v>
      </c>
      <c r="G15" s="5">
        <v>982</v>
      </c>
      <c r="H15" s="5">
        <v>257</v>
      </c>
      <c r="I15" s="5">
        <v>290</v>
      </c>
      <c r="J15" s="9">
        <f t="shared" si="1"/>
        <v>2471</v>
      </c>
      <c r="K15" s="5">
        <v>568</v>
      </c>
      <c r="L15" s="5">
        <v>525</v>
      </c>
      <c r="M15" s="5">
        <v>250</v>
      </c>
      <c r="N15" s="5">
        <v>577</v>
      </c>
      <c r="O15" s="8">
        <f t="shared" si="2"/>
        <v>1920</v>
      </c>
      <c r="P15" s="5">
        <v>2542</v>
      </c>
      <c r="Q15" s="5">
        <v>3018.25</v>
      </c>
      <c r="R15" s="5">
        <v>89</v>
      </c>
      <c r="S15" s="5">
        <v>49</v>
      </c>
    </row>
    <row r="16" spans="1:19" s="1" customFormat="1">
      <c r="A16" s="3" t="s">
        <v>21</v>
      </c>
      <c r="B16" s="3">
        <v>2</v>
      </c>
      <c r="C16" s="5">
        <v>1258</v>
      </c>
      <c r="D16" s="5">
        <v>1509</v>
      </c>
      <c r="E16" s="9">
        <f t="shared" si="0"/>
        <v>2767</v>
      </c>
      <c r="F16" s="5">
        <v>981</v>
      </c>
      <c r="G16" s="5">
        <v>1142</v>
      </c>
      <c r="H16" s="5">
        <v>224</v>
      </c>
      <c r="I16" s="5">
        <v>236</v>
      </c>
      <c r="J16" s="9">
        <f t="shared" si="1"/>
        <v>2583</v>
      </c>
      <c r="K16" s="5">
        <v>641</v>
      </c>
      <c r="L16" s="5">
        <v>582</v>
      </c>
      <c r="M16" s="5">
        <v>330</v>
      </c>
      <c r="N16" s="5">
        <v>570</v>
      </c>
      <c r="O16" s="8">
        <f t="shared" si="2"/>
        <v>2123</v>
      </c>
      <c r="P16" s="5">
        <v>4121</v>
      </c>
      <c r="Q16" s="5">
        <v>4911.54</v>
      </c>
      <c r="R16" s="5">
        <v>0</v>
      </c>
      <c r="S16" s="5">
        <v>0</v>
      </c>
    </row>
    <row r="17" spans="1:19" s="1" customFormat="1">
      <c r="A17" s="3" t="s">
        <v>21</v>
      </c>
      <c r="B17" s="3">
        <v>3</v>
      </c>
      <c r="C17" s="5">
        <v>1352</v>
      </c>
      <c r="D17" s="5">
        <v>1856</v>
      </c>
      <c r="E17" s="9">
        <f t="shared" si="0"/>
        <v>3208</v>
      </c>
      <c r="F17" s="5">
        <v>1020</v>
      </c>
      <c r="G17" s="5">
        <v>1425</v>
      </c>
      <c r="H17" s="5">
        <v>303</v>
      </c>
      <c r="I17" s="5">
        <v>332</v>
      </c>
      <c r="J17" s="9">
        <f t="shared" si="1"/>
        <v>3080</v>
      </c>
      <c r="K17" s="5">
        <v>589</v>
      </c>
      <c r="L17" s="5">
        <v>747</v>
      </c>
      <c r="M17" s="5">
        <v>383</v>
      </c>
      <c r="N17" s="5">
        <v>721</v>
      </c>
      <c r="O17" s="8">
        <f t="shared" si="2"/>
        <v>2440</v>
      </c>
      <c r="P17" s="5">
        <v>4704</v>
      </c>
      <c r="Q17" s="5">
        <v>4704.8</v>
      </c>
      <c r="R17" s="5">
        <v>0</v>
      </c>
      <c r="S17" s="5">
        <v>0</v>
      </c>
    </row>
    <row r="18" spans="1:19" s="1" customFormat="1">
      <c r="A18" s="3" t="s">
        <v>21</v>
      </c>
      <c r="B18" s="3">
        <v>4</v>
      </c>
      <c r="C18" s="5">
        <v>1130</v>
      </c>
      <c r="D18" s="5">
        <v>1699</v>
      </c>
      <c r="E18" s="9">
        <f t="shared" si="0"/>
        <v>2829</v>
      </c>
      <c r="F18" s="5">
        <v>817</v>
      </c>
      <c r="G18" s="5">
        <v>1220</v>
      </c>
      <c r="H18" s="5">
        <v>250</v>
      </c>
      <c r="I18" s="5">
        <v>404</v>
      </c>
      <c r="J18" s="9">
        <f t="shared" si="1"/>
        <v>2691</v>
      </c>
      <c r="K18" s="5">
        <v>599</v>
      </c>
      <c r="L18" s="5">
        <v>577</v>
      </c>
      <c r="M18" s="5">
        <v>244</v>
      </c>
      <c r="N18" s="5">
        <v>614</v>
      </c>
      <c r="O18" s="8">
        <f t="shared" si="2"/>
        <v>2034</v>
      </c>
      <c r="P18" s="5">
        <v>3474</v>
      </c>
      <c r="Q18" s="5">
        <v>3380.4300000000003</v>
      </c>
      <c r="R18" s="5">
        <v>0</v>
      </c>
      <c r="S18" s="5">
        <v>0</v>
      </c>
    </row>
    <row r="19" spans="1:19" s="1" customFormat="1">
      <c r="A19" s="3" t="s">
        <v>21</v>
      </c>
      <c r="B19" s="3">
        <v>5</v>
      </c>
      <c r="C19" s="5">
        <v>1176</v>
      </c>
      <c r="D19" s="5">
        <v>1399</v>
      </c>
      <c r="E19" s="9">
        <f t="shared" si="0"/>
        <v>2575</v>
      </c>
      <c r="F19" s="5">
        <v>864</v>
      </c>
      <c r="G19" s="5">
        <v>847</v>
      </c>
      <c r="H19" s="5">
        <v>196</v>
      </c>
      <c r="I19" s="5">
        <v>385</v>
      </c>
      <c r="J19" s="9">
        <f t="shared" si="1"/>
        <v>2292</v>
      </c>
      <c r="K19" s="5">
        <v>548</v>
      </c>
      <c r="L19" s="5">
        <v>444</v>
      </c>
      <c r="M19" s="5">
        <v>260</v>
      </c>
      <c r="N19" s="5">
        <v>465</v>
      </c>
      <c r="O19" s="8">
        <f t="shared" si="2"/>
        <v>1717</v>
      </c>
      <c r="P19" s="5">
        <v>3138</v>
      </c>
      <c r="Q19" s="5">
        <v>4259.58</v>
      </c>
      <c r="R19" s="5">
        <v>0</v>
      </c>
      <c r="S19" s="5">
        <v>0</v>
      </c>
    </row>
    <row r="20" spans="1:19" s="1" customFormat="1">
      <c r="A20" s="3" t="s">
        <v>21</v>
      </c>
      <c r="B20" s="3">
        <v>6</v>
      </c>
      <c r="C20" s="5">
        <v>1086</v>
      </c>
      <c r="D20" s="5">
        <v>1717</v>
      </c>
      <c r="E20" s="9">
        <f t="shared" si="0"/>
        <v>2803</v>
      </c>
      <c r="F20" s="5">
        <v>800</v>
      </c>
      <c r="G20" s="5">
        <v>1311</v>
      </c>
      <c r="H20" s="5">
        <v>204</v>
      </c>
      <c r="I20" s="5">
        <v>313</v>
      </c>
      <c r="J20" s="9">
        <f t="shared" si="1"/>
        <v>2628</v>
      </c>
      <c r="K20" s="5">
        <v>604</v>
      </c>
      <c r="L20" s="5">
        <v>530</v>
      </c>
      <c r="M20" s="5">
        <v>332</v>
      </c>
      <c r="N20" s="5">
        <v>614</v>
      </c>
      <c r="O20" s="8">
        <f t="shared" si="2"/>
        <v>2080</v>
      </c>
      <c r="P20" s="5">
        <v>2291</v>
      </c>
      <c r="Q20" s="5">
        <v>3634.41</v>
      </c>
      <c r="R20" s="5">
        <v>89</v>
      </c>
      <c r="S20" s="5">
        <v>0</v>
      </c>
    </row>
    <row r="21" spans="1:19" s="1" customFormat="1">
      <c r="A21" s="3" t="s">
        <v>21</v>
      </c>
      <c r="B21" s="3">
        <v>7</v>
      </c>
      <c r="C21" s="5">
        <v>1078</v>
      </c>
      <c r="D21" s="5">
        <v>1725</v>
      </c>
      <c r="E21" s="9">
        <f t="shared" si="0"/>
        <v>2803</v>
      </c>
      <c r="F21" s="5">
        <v>844</v>
      </c>
      <c r="G21" s="5">
        <v>1261</v>
      </c>
      <c r="H21" s="5">
        <v>181</v>
      </c>
      <c r="I21" s="5">
        <v>310</v>
      </c>
      <c r="J21" s="9">
        <f t="shared" si="1"/>
        <v>2596</v>
      </c>
      <c r="K21" s="5">
        <v>636</v>
      </c>
      <c r="L21" s="5">
        <v>656</v>
      </c>
      <c r="M21" s="5">
        <v>285</v>
      </c>
      <c r="N21" s="5">
        <v>556</v>
      </c>
      <c r="O21" s="8">
        <f t="shared" si="2"/>
        <v>2133</v>
      </c>
      <c r="P21" s="5">
        <v>2313</v>
      </c>
      <c r="Q21" s="5">
        <v>3077.83</v>
      </c>
      <c r="R21" s="5">
        <v>0</v>
      </c>
      <c r="S21" s="5">
        <v>0</v>
      </c>
    </row>
    <row r="22" spans="1:19" s="1" customFormat="1">
      <c r="A22" s="3" t="s">
        <v>21</v>
      </c>
      <c r="B22" s="3">
        <v>8</v>
      </c>
      <c r="C22" s="5">
        <v>1025</v>
      </c>
      <c r="D22" s="5">
        <v>1643</v>
      </c>
      <c r="E22" s="9">
        <f t="shared" si="0"/>
        <v>2668</v>
      </c>
      <c r="F22" s="5">
        <v>709</v>
      </c>
      <c r="G22" s="5">
        <v>1244</v>
      </c>
      <c r="H22" s="5">
        <v>169</v>
      </c>
      <c r="I22" s="5">
        <v>267</v>
      </c>
      <c r="J22" s="9">
        <f t="shared" si="1"/>
        <v>2389</v>
      </c>
      <c r="K22" s="5">
        <v>610</v>
      </c>
      <c r="L22" s="5">
        <v>526</v>
      </c>
      <c r="M22" s="5">
        <v>237</v>
      </c>
      <c r="N22" s="5">
        <v>579</v>
      </c>
      <c r="O22" s="8">
        <f t="shared" si="2"/>
        <v>1952</v>
      </c>
      <c r="P22" s="5">
        <v>3351</v>
      </c>
      <c r="Q22" s="5">
        <v>3878.3</v>
      </c>
      <c r="R22" s="5">
        <v>0</v>
      </c>
      <c r="S22" s="5">
        <v>63</v>
      </c>
    </row>
    <row r="23" spans="1:19" s="1" customFormat="1">
      <c r="A23" s="3" t="s">
        <v>21</v>
      </c>
      <c r="B23" s="3">
        <v>9</v>
      </c>
      <c r="C23" s="5">
        <v>1238</v>
      </c>
      <c r="D23" s="5">
        <v>2034</v>
      </c>
      <c r="E23" s="9">
        <f t="shared" si="0"/>
        <v>3272</v>
      </c>
      <c r="F23" s="5">
        <v>937</v>
      </c>
      <c r="G23" s="5">
        <v>1520</v>
      </c>
      <c r="H23" s="5">
        <v>297</v>
      </c>
      <c r="I23" s="5">
        <v>410</v>
      </c>
      <c r="J23" s="9">
        <f t="shared" si="1"/>
        <v>3164</v>
      </c>
      <c r="K23" s="5">
        <v>659</v>
      </c>
      <c r="L23" s="5">
        <v>611</v>
      </c>
      <c r="M23" s="5">
        <v>343</v>
      </c>
      <c r="N23" s="5">
        <v>828</v>
      </c>
      <c r="O23" s="8">
        <f t="shared" si="2"/>
        <v>2441</v>
      </c>
      <c r="P23" s="5">
        <v>3539</v>
      </c>
      <c r="Q23" s="5">
        <v>3743.05</v>
      </c>
      <c r="R23" s="5">
        <v>15</v>
      </c>
      <c r="S23" s="5">
        <v>0</v>
      </c>
    </row>
    <row r="24" spans="1:19" s="1" customFormat="1">
      <c r="A24" s="3" t="s">
        <v>21</v>
      </c>
      <c r="B24" s="3">
        <v>10</v>
      </c>
      <c r="C24" s="5">
        <v>1113</v>
      </c>
      <c r="D24" s="5">
        <v>1823</v>
      </c>
      <c r="E24" s="9">
        <f t="shared" si="0"/>
        <v>2936</v>
      </c>
      <c r="F24" s="5">
        <v>780</v>
      </c>
      <c r="G24" s="5">
        <v>1293</v>
      </c>
      <c r="H24" s="5">
        <v>244</v>
      </c>
      <c r="I24" s="5">
        <v>378</v>
      </c>
      <c r="J24" s="9">
        <f t="shared" si="1"/>
        <v>2695</v>
      </c>
      <c r="K24" s="5">
        <v>576</v>
      </c>
      <c r="L24" s="5">
        <v>498</v>
      </c>
      <c r="M24" s="5">
        <v>280</v>
      </c>
      <c r="N24" s="5">
        <v>716</v>
      </c>
      <c r="O24" s="8">
        <f t="shared" si="2"/>
        <v>2070</v>
      </c>
      <c r="P24" s="5">
        <v>2982</v>
      </c>
      <c r="Q24" s="5">
        <v>3532</v>
      </c>
      <c r="R24" s="5">
        <v>0</v>
      </c>
      <c r="S24" s="5">
        <v>0</v>
      </c>
    </row>
    <row r="25" spans="1:19" s="1" customFormat="1">
      <c r="A25" s="3" t="s">
        <v>21</v>
      </c>
      <c r="B25" s="3">
        <v>11</v>
      </c>
      <c r="C25" s="5">
        <v>1422</v>
      </c>
      <c r="D25" s="5">
        <v>2233</v>
      </c>
      <c r="E25" s="9">
        <f t="shared" si="0"/>
        <v>3655</v>
      </c>
      <c r="F25" s="5">
        <v>1094</v>
      </c>
      <c r="G25" s="5">
        <v>1685</v>
      </c>
      <c r="H25" s="5">
        <v>281</v>
      </c>
      <c r="I25" s="5">
        <v>441</v>
      </c>
      <c r="J25" s="9">
        <f t="shared" si="1"/>
        <v>3501</v>
      </c>
      <c r="K25" s="5">
        <v>800</v>
      </c>
      <c r="L25" s="5">
        <v>687</v>
      </c>
      <c r="M25" s="5">
        <v>437</v>
      </c>
      <c r="N25" s="5">
        <v>856</v>
      </c>
      <c r="O25" s="8">
        <f t="shared" si="2"/>
        <v>2780</v>
      </c>
      <c r="P25" s="5">
        <v>2921</v>
      </c>
      <c r="Q25" s="5">
        <v>4394.75</v>
      </c>
      <c r="R25" s="5">
        <v>0</v>
      </c>
      <c r="S25" s="5">
        <v>4</v>
      </c>
    </row>
    <row r="26" spans="1:19" s="1" customFormat="1">
      <c r="A26" s="3" t="s">
        <v>21</v>
      </c>
      <c r="B26" s="3">
        <v>12</v>
      </c>
      <c r="C26" s="5">
        <v>1062</v>
      </c>
      <c r="D26" s="5">
        <v>1752</v>
      </c>
      <c r="E26" s="9">
        <f t="shared" si="0"/>
        <v>2814</v>
      </c>
      <c r="F26" s="5">
        <v>836</v>
      </c>
      <c r="G26" s="5">
        <v>1348</v>
      </c>
      <c r="H26" s="5">
        <v>156</v>
      </c>
      <c r="I26" s="5">
        <v>365</v>
      </c>
      <c r="J26" s="9">
        <f t="shared" si="1"/>
        <v>2705</v>
      </c>
      <c r="K26" s="5">
        <v>553</v>
      </c>
      <c r="L26" s="5">
        <v>574</v>
      </c>
      <c r="M26" s="5">
        <v>304</v>
      </c>
      <c r="N26" s="5">
        <v>756</v>
      </c>
      <c r="O26" s="8">
        <f t="shared" si="2"/>
        <v>2187</v>
      </c>
      <c r="P26" s="5">
        <v>1760</v>
      </c>
      <c r="Q26" s="5">
        <v>3765.17</v>
      </c>
      <c r="R26" s="5">
        <v>171</v>
      </c>
      <c r="S26" s="5">
        <v>12</v>
      </c>
    </row>
    <row r="27" spans="1:19" s="1" customFormat="1">
      <c r="A27" s="3" t="s">
        <v>22</v>
      </c>
      <c r="B27" s="3">
        <v>1</v>
      </c>
      <c r="C27" s="5">
        <v>1061</v>
      </c>
      <c r="D27" s="5">
        <v>1420</v>
      </c>
      <c r="E27" s="9">
        <f t="shared" si="0"/>
        <v>2481</v>
      </c>
      <c r="F27" s="5">
        <v>750</v>
      </c>
      <c r="G27" s="5">
        <v>1017</v>
      </c>
      <c r="H27" s="5">
        <v>123</v>
      </c>
      <c r="I27" s="5">
        <v>164</v>
      </c>
      <c r="J27" s="9">
        <f t="shared" si="1"/>
        <v>2054</v>
      </c>
      <c r="K27" s="5">
        <v>441</v>
      </c>
      <c r="L27" s="5">
        <v>396</v>
      </c>
      <c r="M27" s="5">
        <v>299</v>
      </c>
      <c r="N27" s="5">
        <v>631</v>
      </c>
      <c r="O27" s="8">
        <f t="shared" si="2"/>
        <v>1767</v>
      </c>
      <c r="P27" s="5">
        <v>3589</v>
      </c>
      <c r="Q27" s="5">
        <v>2107</v>
      </c>
      <c r="R27" s="5">
        <v>0</v>
      </c>
      <c r="S27" s="5">
        <v>0</v>
      </c>
    </row>
    <row r="28" spans="1:19" s="1" customFormat="1">
      <c r="A28" s="3" t="s">
        <v>22</v>
      </c>
      <c r="B28" s="3">
        <v>2</v>
      </c>
      <c r="C28" s="5">
        <v>743</v>
      </c>
      <c r="D28" s="5">
        <v>1363</v>
      </c>
      <c r="E28" s="9">
        <f t="shared" si="0"/>
        <v>2106</v>
      </c>
      <c r="F28" s="5">
        <v>473</v>
      </c>
      <c r="G28" s="5">
        <v>907</v>
      </c>
      <c r="H28" s="5">
        <v>109</v>
      </c>
      <c r="I28" s="5">
        <v>171</v>
      </c>
      <c r="J28" s="9">
        <f t="shared" si="1"/>
        <v>1660</v>
      </c>
      <c r="K28" s="5">
        <v>321</v>
      </c>
      <c r="L28" s="5">
        <v>368</v>
      </c>
      <c r="M28" s="5">
        <v>261</v>
      </c>
      <c r="N28" s="5">
        <v>430</v>
      </c>
      <c r="O28" s="8">
        <f t="shared" si="2"/>
        <v>1380</v>
      </c>
      <c r="P28" s="5">
        <v>4439</v>
      </c>
      <c r="Q28" s="5">
        <v>3587</v>
      </c>
      <c r="R28" s="5">
        <v>0</v>
      </c>
      <c r="S28" s="5">
        <v>12</v>
      </c>
    </row>
    <row r="29" spans="1:19" s="1" customFormat="1">
      <c r="A29" s="3" t="s">
        <v>22</v>
      </c>
      <c r="B29" s="3">
        <v>3</v>
      </c>
      <c r="C29" s="5">
        <v>856</v>
      </c>
      <c r="D29" s="5">
        <v>1679</v>
      </c>
      <c r="E29" s="9">
        <f t="shared" si="0"/>
        <v>2535</v>
      </c>
      <c r="F29" s="5">
        <v>630</v>
      </c>
      <c r="G29" s="5">
        <v>1313</v>
      </c>
      <c r="H29" s="5">
        <v>110</v>
      </c>
      <c r="I29" s="5">
        <v>193</v>
      </c>
      <c r="J29" s="9">
        <f t="shared" si="1"/>
        <v>2246</v>
      </c>
      <c r="K29" s="5">
        <v>476</v>
      </c>
      <c r="L29" s="5">
        <v>436</v>
      </c>
      <c r="M29" s="5">
        <v>341</v>
      </c>
      <c r="N29" s="5">
        <v>690</v>
      </c>
      <c r="O29" s="8">
        <f t="shared" si="2"/>
        <v>1943</v>
      </c>
      <c r="P29" s="5">
        <v>3850</v>
      </c>
      <c r="Q29" s="5">
        <v>2932.75</v>
      </c>
      <c r="R29" s="5">
        <v>24</v>
      </c>
      <c r="S29" s="5">
        <v>0</v>
      </c>
    </row>
    <row r="30" spans="1:19" s="1" customFormat="1">
      <c r="A30" s="3" t="s">
        <v>22</v>
      </c>
      <c r="B30" s="3">
        <v>4</v>
      </c>
      <c r="C30" s="5">
        <v>764</v>
      </c>
      <c r="D30" s="5">
        <v>1303</v>
      </c>
      <c r="E30" s="9">
        <f t="shared" si="0"/>
        <v>2067</v>
      </c>
      <c r="F30" s="5">
        <v>491</v>
      </c>
      <c r="G30" s="5">
        <v>879</v>
      </c>
      <c r="H30" s="5">
        <v>107</v>
      </c>
      <c r="I30" s="5">
        <v>162</v>
      </c>
      <c r="J30" s="9">
        <f t="shared" si="1"/>
        <v>1639</v>
      </c>
      <c r="K30" s="5">
        <v>348</v>
      </c>
      <c r="L30" s="5">
        <v>334</v>
      </c>
      <c r="M30" s="6">
        <v>189.5</v>
      </c>
      <c r="N30" s="5">
        <v>502</v>
      </c>
      <c r="O30" s="8">
        <f t="shared" si="2"/>
        <v>1373.5</v>
      </c>
      <c r="P30" s="5">
        <v>3198</v>
      </c>
      <c r="Q30" s="5">
        <v>2342.75</v>
      </c>
      <c r="R30" s="5">
        <v>19</v>
      </c>
      <c r="S30" s="5">
        <v>101</v>
      </c>
    </row>
    <row r="31" spans="1:19" s="1" customFormat="1">
      <c r="A31" s="3" t="s">
        <v>22</v>
      </c>
      <c r="B31" s="3">
        <v>5</v>
      </c>
      <c r="C31" s="5">
        <v>814</v>
      </c>
      <c r="D31" s="5">
        <v>1317</v>
      </c>
      <c r="E31" s="9">
        <f t="shared" si="0"/>
        <v>2131</v>
      </c>
      <c r="F31" s="5">
        <v>402</v>
      </c>
      <c r="G31" s="5">
        <v>748</v>
      </c>
      <c r="H31" s="5">
        <v>74</v>
      </c>
      <c r="I31" s="5">
        <v>96</v>
      </c>
      <c r="J31" s="9">
        <f t="shared" si="1"/>
        <v>1320</v>
      </c>
      <c r="K31" s="5">
        <v>320</v>
      </c>
      <c r="L31" s="5">
        <v>341</v>
      </c>
      <c r="M31" s="5">
        <v>122</v>
      </c>
      <c r="N31" s="5">
        <v>367</v>
      </c>
      <c r="O31" s="8">
        <f t="shared" si="2"/>
        <v>1150</v>
      </c>
      <c r="P31" s="5">
        <v>2550</v>
      </c>
      <c r="Q31" s="5">
        <v>1869</v>
      </c>
      <c r="R31" s="5">
        <v>177</v>
      </c>
      <c r="S31" s="5">
        <v>0</v>
      </c>
    </row>
    <row r="32" spans="1:19" s="1" customFormat="1">
      <c r="A32" s="3" t="s">
        <v>22</v>
      </c>
      <c r="B32" s="3">
        <v>6</v>
      </c>
      <c r="C32" s="5">
        <v>946</v>
      </c>
      <c r="D32" s="5">
        <v>1407</v>
      </c>
      <c r="E32" s="9">
        <f t="shared" si="0"/>
        <v>2353</v>
      </c>
      <c r="F32" s="5">
        <v>492</v>
      </c>
      <c r="G32" s="5">
        <v>784</v>
      </c>
      <c r="H32" s="5">
        <v>110</v>
      </c>
      <c r="I32" s="5">
        <v>118</v>
      </c>
      <c r="J32" s="9">
        <f t="shared" si="1"/>
        <v>1504</v>
      </c>
      <c r="K32" s="5">
        <v>267</v>
      </c>
      <c r="L32" s="5">
        <v>349</v>
      </c>
      <c r="M32" s="5">
        <v>180</v>
      </c>
      <c r="N32" s="5">
        <v>480</v>
      </c>
      <c r="O32" s="8">
        <f t="shared" si="2"/>
        <v>1276</v>
      </c>
      <c r="P32" s="5">
        <v>2811</v>
      </c>
      <c r="Q32" s="5">
        <v>2732.75</v>
      </c>
      <c r="R32" s="5">
        <v>0</v>
      </c>
      <c r="S32" s="5">
        <v>0</v>
      </c>
    </row>
    <row r="33" spans="1:19" s="1" customFormat="1">
      <c r="A33" s="3" t="s">
        <v>22</v>
      </c>
      <c r="B33" s="3">
        <v>7</v>
      </c>
      <c r="C33" s="5">
        <v>1229</v>
      </c>
      <c r="D33" s="5">
        <v>2365</v>
      </c>
      <c r="E33" s="9">
        <f t="shared" si="0"/>
        <v>3594</v>
      </c>
      <c r="F33" s="5">
        <v>926</v>
      </c>
      <c r="G33" s="5">
        <v>1939</v>
      </c>
      <c r="H33" s="5">
        <v>170</v>
      </c>
      <c r="I33" s="5">
        <v>273</v>
      </c>
      <c r="J33" s="9">
        <f t="shared" si="1"/>
        <v>3308</v>
      </c>
      <c r="K33" s="5">
        <v>580</v>
      </c>
      <c r="L33" s="5">
        <v>687</v>
      </c>
      <c r="M33" s="5">
        <v>369</v>
      </c>
      <c r="N33" s="5">
        <v>1222</v>
      </c>
      <c r="O33" s="8">
        <f t="shared" si="2"/>
        <v>2858</v>
      </c>
      <c r="P33" s="5">
        <v>3007</v>
      </c>
      <c r="Q33" s="5">
        <v>2746.75</v>
      </c>
      <c r="R33" s="5">
        <v>0</v>
      </c>
      <c r="S33" s="5">
        <v>0</v>
      </c>
    </row>
    <row r="34" spans="1:19" s="1" customFormat="1">
      <c r="A34" s="3" t="s">
        <v>22</v>
      </c>
      <c r="B34" s="3">
        <v>8</v>
      </c>
      <c r="C34" s="5">
        <v>824</v>
      </c>
      <c r="D34" s="5">
        <v>1791</v>
      </c>
      <c r="E34" s="9">
        <f t="shared" si="0"/>
        <v>2615</v>
      </c>
      <c r="F34" s="5">
        <v>534</v>
      </c>
      <c r="G34" s="5">
        <v>1298</v>
      </c>
      <c r="H34" s="5">
        <v>101</v>
      </c>
      <c r="I34" s="5">
        <v>226</v>
      </c>
      <c r="J34" s="9">
        <f t="shared" si="1"/>
        <v>2159</v>
      </c>
      <c r="K34" s="5">
        <v>389</v>
      </c>
      <c r="L34" s="5">
        <v>500</v>
      </c>
      <c r="M34" s="5">
        <v>244</v>
      </c>
      <c r="N34" s="5">
        <v>699</v>
      </c>
      <c r="O34" s="8">
        <f t="shared" si="2"/>
        <v>1832</v>
      </c>
      <c r="P34" s="5">
        <v>3412</v>
      </c>
      <c r="Q34" s="5">
        <v>3043.3</v>
      </c>
      <c r="R34" s="5">
        <v>0</v>
      </c>
      <c r="S34" s="5">
        <v>0</v>
      </c>
    </row>
    <row r="35" spans="1:19" s="1" customFormat="1">
      <c r="A35" s="3" t="s">
        <v>22</v>
      </c>
      <c r="B35" s="3">
        <v>9</v>
      </c>
      <c r="C35" s="5">
        <v>988</v>
      </c>
      <c r="D35" s="5">
        <v>2047</v>
      </c>
      <c r="E35" s="9">
        <f t="shared" si="0"/>
        <v>3035</v>
      </c>
      <c r="F35" s="5">
        <v>752</v>
      </c>
      <c r="G35" s="5">
        <v>1625</v>
      </c>
      <c r="H35" s="5">
        <v>164</v>
      </c>
      <c r="I35" s="5">
        <v>264</v>
      </c>
      <c r="J35" s="9">
        <f t="shared" si="1"/>
        <v>2805</v>
      </c>
      <c r="K35" s="5">
        <v>503</v>
      </c>
      <c r="L35" s="5">
        <v>568</v>
      </c>
      <c r="M35" s="5">
        <v>358</v>
      </c>
      <c r="N35" s="5">
        <v>947</v>
      </c>
      <c r="O35" s="8">
        <f t="shared" si="2"/>
        <v>2376</v>
      </c>
      <c r="P35" s="5">
        <v>4651</v>
      </c>
      <c r="Q35" s="5">
        <v>3214.25</v>
      </c>
      <c r="R35" s="5">
        <v>0</v>
      </c>
      <c r="S35" s="5">
        <v>0.3</v>
      </c>
    </row>
    <row r="36" spans="1:19" s="1" customFormat="1">
      <c r="A36" s="3" t="s">
        <v>22</v>
      </c>
      <c r="B36" s="3">
        <v>10</v>
      </c>
      <c r="C36" s="5">
        <v>1111</v>
      </c>
      <c r="D36" s="5">
        <v>1730</v>
      </c>
      <c r="E36" s="9">
        <f t="shared" si="0"/>
        <v>2841</v>
      </c>
      <c r="F36" s="5">
        <v>882</v>
      </c>
      <c r="G36" s="5">
        <v>1383</v>
      </c>
      <c r="H36" s="5">
        <v>190</v>
      </c>
      <c r="I36" s="5">
        <v>290</v>
      </c>
      <c r="J36" s="9">
        <f t="shared" si="1"/>
        <v>2745</v>
      </c>
      <c r="K36" s="5">
        <v>511</v>
      </c>
      <c r="L36" s="5">
        <v>626</v>
      </c>
      <c r="M36" s="5">
        <v>311</v>
      </c>
      <c r="N36" s="5">
        <v>817</v>
      </c>
      <c r="O36" s="8">
        <f t="shared" si="2"/>
        <v>2265</v>
      </c>
      <c r="P36" s="5">
        <v>4303</v>
      </c>
      <c r="Q36" s="5">
        <v>2908.25</v>
      </c>
      <c r="R36" s="5">
        <v>0</v>
      </c>
      <c r="S36" s="5">
        <v>0</v>
      </c>
    </row>
    <row r="37" spans="1:19" s="1" customFormat="1">
      <c r="A37" s="3" t="s">
        <v>22</v>
      </c>
      <c r="B37" s="3">
        <v>11</v>
      </c>
      <c r="C37" s="5">
        <v>971</v>
      </c>
      <c r="D37" s="5">
        <v>1934</v>
      </c>
      <c r="E37" s="9">
        <f t="shared" si="0"/>
        <v>2905</v>
      </c>
      <c r="F37" s="5">
        <v>753</v>
      </c>
      <c r="G37" s="5">
        <v>1583</v>
      </c>
      <c r="H37" s="5">
        <v>182</v>
      </c>
      <c r="I37" s="5">
        <v>292</v>
      </c>
      <c r="J37" s="9">
        <f t="shared" si="1"/>
        <v>2810</v>
      </c>
      <c r="K37" s="5">
        <v>468</v>
      </c>
      <c r="L37" s="5">
        <v>596</v>
      </c>
      <c r="M37" s="5">
        <v>336</v>
      </c>
      <c r="N37" s="5">
        <v>936</v>
      </c>
      <c r="O37" s="8">
        <f t="shared" si="2"/>
        <v>2336</v>
      </c>
      <c r="P37" s="5">
        <v>3891</v>
      </c>
      <c r="Q37" s="5">
        <v>3199.05</v>
      </c>
      <c r="R37" s="5">
        <v>0</v>
      </c>
      <c r="S37" s="5">
        <v>2</v>
      </c>
    </row>
    <row r="38" spans="1:19" s="1" customFormat="1">
      <c r="A38" s="3" t="s">
        <v>22</v>
      </c>
      <c r="B38" s="3">
        <v>12</v>
      </c>
      <c r="C38" s="5">
        <v>1176</v>
      </c>
      <c r="D38" s="5">
        <v>2089</v>
      </c>
      <c r="E38" s="9">
        <f t="shared" si="0"/>
        <v>3265</v>
      </c>
      <c r="F38" s="5">
        <v>869</v>
      </c>
      <c r="G38" s="5">
        <v>1668</v>
      </c>
      <c r="H38" s="5">
        <v>214</v>
      </c>
      <c r="I38" s="5">
        <v>297</v>
      </c>
      <c r="J38" s="9">
        <f t="shared" si="1"/>
        <v>3048</v>
      </c>
      <c r="K38" s="5">
        <v>517</v>
      </c>
      <c r="L38" s="5">
        <v>633</v>
      </c>
      <c r="M38" s="5">
        <v>431</v>
      </c>
      <c r="N38" s="5">
        <v>956</v>
      </c>
      <c r="O38" s="8">
        <f t="shared" si="2"/>
        <v>2537</v>
      </c>
      <c r="P38" s="5">
        <v>3463</v>
      </c>
      <c r="Q38" s="5">
        <v>3431.8</v>
      </c>
      <c r="R38" s="5">
        <v>1</v>
      </c>
      <c r="S38" s="5">
        <v>0</v>
      </c>
    </row>
    <row r="39" spans="1:19" s="1" customFormat="1">
      <c r="A39" s="3" t="s">
        <v>23</v>
      </c>
      <c r="B39" s="3">
        <v>1</v>
      </c>
      <c r="C39" s="5">
        <v>846</v>
      </c>
      <c r="D39" s="5">
        <v>1405</v>
      </c>
      <c r="E39" s="9">
        <f t="shared" si="0"/>
        <v>2251</v>
      </c>
      <c r="F39" s="5">
        <v>609</v>
      </c>
      <c r="G39" s="5">
        <v>941</v>
      </c>
      <c r="H39" s="5">
        <v>81</v>
      </c>
      <c r="I39" s="5">
        <v>192</v>
      </c>
      <c r="J39" s="9">
        <f t="shared" si="1"/>
        <v>1823</v>
      </c>
      <c r="K39" s="5">
        <v>469</v>
      </c>
      <c r="L39" s="5">
        <v>451</v>
      </c>
      <c r="M39" s="5">
        <v>132</v>
      </c>
      <c r="N39" s="5">
        <v>542</v>
      </c>
      <c r="O39" s="8">
        <f t="shared" si="2"/>
        <v>1594</v>
      </c>
      <c r="P39" s="5">
        <v>1757</v>
      </c>
      <c r="Q39" s="5">
        <v>3344.7</v>
      </c>
      <c r="R39" s="5">
        <v>0</v>
      </c>
      <c r="S39" s="5">
        <v>4</v>
      </c>
    </row>
    <row r="40" spans="1:19" s="1" customFormat="1">
      <c r="A40" s="3" t="s">
        <v>23</v>
      </c>
      <c r="B40" s="3">
        <v>2</v>
      </c>
      <c r="C40" s="5">
        <v>528</v>
      </c>
      <c r="D40" s="5">
        <v>1149</v>
      </c>
      <c r="E40" s="9">
        <f t="shared" si="0"/>
        <v>1677</v>
      </c>
      <c r="F40" s="5">
        <v>280</v>
      </c>
      <c r="G40" s="5">
        <v>631</v>
      </c>
      <c r="H40" s="5">
        <v>47</v>
      </c>
      <c r="I40" s="5">
        <v>130</v>
      </c>
      <c r="J40" s="9">
        <f t="shared" si="1"/>
        <v>1088</v>
      </c>
      <c r="K40" s="5">
        <v>246</v>
      </c>
      <c r="L40" s="5">
        <v>237</v>
      </c>
      <c r="M40" s="5">
        <v>137</v>
      </c>
      <c r="N40" s="5">
        <v>299</v>
      </c>
      <c r="O40" s="8">
        <f t="shared" si="2"/>
        <v>919</v>
      </c>
      <c r="P40" s="5">
        <v>3296</v>
      </c>
      <c r="Q40" s="5">
        <v>4464</v>
      </c>
      <c r="R40" s="5">
        <v>0</v>
      </c>
      <c r="S40" s="5">
        <v>0</v>
      </c>
    </row>
    <row r="41" spans="1:19" s="1" customFormat="1">
      <c r="A41" s="3" t="s">
        <v>23</v>
      </c>
      <c r="B41" s="3">
        <v>3</v>
      </c>
      <c r="C41" s="5">
        <v>813</v>
      </c>
      <c r="D41" s="5">
        <v>1686</v>
      </c>
      <c r="E41" s="9">
        <f t="shared" si="0"/>
        <v>2499</v>
      </c>
      <c r="F41" s="5">
        <v>606</v>
      </c>
      <c r="G41" s="5">
        <v>1339</v>
      </c>
      <c r="H41" s="5">
        <v>124</v>
      </c>
      <c r="I41" s="5">
        <v>274</v>
      </c>
      <c r="J41" s="9">
        <f t="shared" si="1"/>
        <v>2343</v>
      </c>
      <c r="K41" s="5">
        <v>411</v>
      </c>
      <c r="L41" s="5">
        <v>494</v>
      </c>
      <c r="M41" s="5">
        <v>286</v>
      </c>
      <c r="N41" s="5">
        <v>754</v>
      </c>
      <c r="O41" s="8">
        <f t="shared" si="2"/>
        <v>1945</v>
      </c>
      <c r="P41" s="5">
        <v>3605</v>
      </c>
      <c r="Q41" s="5">
        <v>5525.75</v>
      </c>
      <c r="R41" s="5">
        <v>0</v>
      </c>
      <c r="S41" s="5">
        <v>2</v>
      </c>
    </row>
    <row r="42" spans="1:19" s="1" customFormat="1">
      <c r="A42" s="3" t="s">
        <v>23</v>
      </c>
      <c r="B42" s="3">
        <v>4</v>
      </c>
      <c r="C42" s="5">
        <v>1011</v>
      </c>
      <c r="D42" s="5">
        <v>1586</v>
      </c>
      <c r="E42" s="9">
        <f t="shared" si="0"/>
        <v>2597</v>
      </c>
      <c r="F42" s="5">
        <v>756</v>
      </c>
      <c r="G42" s="5">
        <v>1181</v>
      </c>
      <c r="H42" s="5">
        <v>131</v>
      </c>
      <c r="I42" s="5">
        <v>219</v>
      </c>
      <c r="J42" s="9">
        <f t="shared" si="1"/>
        <v>2287</v>
      </c>
      <c r="K42" s="5">
        <v>500</v>
      </c>
      <c r="L42" s="5">
        <v>496</v>
      </c>
      <c r="M42" s="5">
        <v>260</v>
      </c>
      <c r="N42" s="5">
        <v>681</v>
      </c>
      <c r="O42" s="8">
        <f t="shared" si="2"/>
        <v>1937</v>
      </c>
      <c r="P42" s="5">
        <v>2987</v>
      </c>
      <c r="Q42" s="5">
        <v>4599.75</v>
      </c>
      <c r="R42" s="5">
        <v>47</v>
      </c>
      <c r="S42" s="5">
        <v>0</v>
      </c>
    </row>
    <row r="43" spans="1:19" s="1" customFormat="1">
      <c r="A43" s="3" t="s">
        <v>23</v>
      </c>
      <c r="B43" s="3">
        <v>5</v>
      </c>
      <c r="C43" s="5">
        <v>798</v>
      </c>
      <c r="D43" s="5">
        <v>1550</v>
      </c>
      <c r="E43" s="9">
        <f t="shared" si="0"/>
        <v>2348</v>
      </c>
      <c r="F43" s="5">
        <v>545</v>
      </c>
      <c r="G43" s="5">
        <v>1067</v>
      </c>
      <c r="H43" s="5">
        <v>125</v>
      </c>
      <c r="I43" s="5">
        <v>189</v>
      </c>
      <c r="J43" s="9">
        <f t="shared" si="1"/>
        <v>1926</v>
      </c>
      <c r="K43" s="5">
        <v>431</v>
      </c>
      <c r="L43" s="5">
        <v>322</v>
      </c>
      <c r="M43" s="5">
        <v>339</v>
      </c>
      <c r="N43" s="5">
        <v>538</v>
      </c>
      <c r="O43" s="8">
        <f t="shared" si="2"/>
        <v>1630</v>
      </c>
      <c r="P43" s="5">
        <v>2548</v>
      </c>
      <c r="Q43" s="5">
        <v>4457</v>
      </c>
      <c r="R43" s="5">
        <v>1</v>
      </c>
      <c r="S43" s="5">
        <v>0</v>
      </c>
    </row>
    <row r="44" spans="1:19" s="1" customFormat="1">
      <c r="A44" s="3" t="s">
        <v>23</v>
      </c>
      <c r="B44" s="3">
        <v>6</v>
      </c>
      <c r="C44" s="5">
        <v>901</v>
      </c>
      <c r="D44" s="5">
        <v>1942</v>
      </c>
      <c r="E44" s="9">
        <f t="shared" si="0"/>
        <v>2843</v>
      </c>
      <c r="F44" s="5">
        <v>638</v>
      </c>
      <c r="G44" s="5">
        <v>1339</v>
      </c>
      <c r="H44" s="5">
        <v>126</v>
      </c>
      <c r="I44" s="5">
        <v>233</v>
      </c>
      <c r="J44" s="9">
        <f t="shared" si="1"/>
        <v>2336</v>
      </c>
      <c r="K44" s="5">
        <v>423</v>
      </c>
      <c r="L44" s="5">
        <v>522</v>
      </c>
      <c r="M44" s="5">
        <v>354</v>
      </c>
      <c r="N44" s="5">
        <v>585</v>
      </c>
      <c r="O44" s="8">
        <f t="shared" si="2"/>
        <v>1884</v>
      </c>
      <c r="P44" s="5">
        <v>3100</v>
      </c>
      <c r="Q44" s="5">
        <v>4025.75</v>
      </c>
      <c r="R44" s="5">
        <v>0</v>
      </c>
      <c r="S44" s="5">
        <v>1</v>
      </c>
    </row>
    <row r="45" spans="1:19" s="1" customFormat="1">
      <c r="A45" s="3" t="s">
        <v>23</v>
      </c>
      <c r="B45" s="3">
        <v>7</v>
      </c>
      <c r="C45" s="5">
        <v>773</v>
      </c>
      <c r="D45" s="5">
        <v>1651</v>
      </c>
      <c r="E45" s="9">
        <f t="shared" si="0"/>
        <v>2424</v>
      </c>
      <c r="F45" s="5">
        <v>483</v>
      </c>
      <c r="G45" s="5">
        <v>1023</v>
      </c>
      <c r="H45" s="5">
        <v>78</v>
      </c>
      <c r="I45" s="5">
        <v>207</v>
      </c>
      <c r="J45" s="9">
        <f t="shared" si="1"/>
        <v>1791</v>
      </c>
      <c r="K45" s="5">
        <v>371</v>
      </c>
      <c r="L45" s="5">
        <v>322</v>
      </c>
      <c r="M45" s="5">
        <v>295</v>
      </c>
      <c r="N45" s="5">
        <v>567</v>
      </c>
      <c r="O45" s="8">
        <f t="shared" si="2"/>
        <v>1555</v>
      </c>
      <c r="P45" s="5">
        <v>3525</v>
      </c>
      <c r="Q45" s="5">
        <v>4273.75</v>
      </c>
      <c r="R45" s="5">
        <v>0</v>
      </c>
      <c r="S45" s="5">
        <v>147</v>
      </c>
    </row>
    <row r="46" spans="1:19" s="1" customFormat="1">
      <c r="A46" s="3" t="s">
        <v>23</v>
      </c>
      <c r="B46" s="3">
        <v>8</v>
      </c>
      <c r="C46" s="5">
        <v>1013</v>
      </c>
      <c r="D46" s="5">
        <v>2119</v>
      </c>
      <c r="E46" s="9">
        <f t="shared" si="0"/>
        <v>3132</v>
      </c>
      <c r="F46" s="5">
        <v>781</v>
      </c>
      <c r="G46" s="5">
        <v>1697</v>
      </c>
      <c r="H46" s="5">
        <v>146</v>
      </c>
      <c r="I46" s="5">
        <v>276</v>
      </c>
      <c r="J46" s="9">
        <f t="shared" si="1"/>
        <v>2900</v>
      </c>
      <c r="K46" s="5">
        <v>575</v>
      </c>
      <c r="L46" s="5">
        <v>596</v>
      </c>
      <c r="M46" s="5">
        <v>400</v>
      </c>
      <c r="N46" s="5">
        <v>906</v>
      </c>
      <c r="O46" s="8">
        <f t="shared" si="2"/>
        <v>2477</v>
      </c>
      <c r="P46" s="5">
        <v>3665</v>
      </c>
      <c r="Q46" s="5">
        <v>4644.3999999999996</v>
      </c>
      <c r="R46" s="5">
        <v>18</v>
      </c>
      <c r="S46" s="5">
        <v>46</v>
      </c>
    </row>
    <row r="47" spans="1:19" s="1" customFormat="1">
      <c r="A47" s="3" t="s">
        <v>23</v>
      </c>
      <c r="B47" s="3">
        <v>9</v>
      </c>
      <c r="C47" s="5">
        <v>949</v>
      </c>
      <c r="D47" s="5">
        <v>1870</v>
      </c>
      <c r="E47" s="9">
        <f t="shared" si="0"/>
        <v>2819</v>
      </c>
      <c r="F47" s="5">
        <v>753</v>
      </c>
      <c r="G47" s="5">
        <v>1479</v>
      </c>
      <c r="H47" s="5">
        <v>137</v>
      </c>
      <c r="I47" s="5">
        <v>270</v>
      </c>
      <c r="J47" s="9">
        <f t="shared" si="1"/>
        <v>2639</v>
      </c>
      <c r="K47" s="5">
        <v>559</v>
      </c>
      <c r="L47" s="5">
        <v>550</v>
      </c>
      <c r="M47" s="5">
        <v>382</v>
      </c>
      <c r="N47" s="5">
        <v>742</v>
      </c>
      <c r="O47" s="8">
        <f t="shared" si="2"/>
        <v>2233</v>
      </c>
      <c r="P47" s="5">
        <v>3441</v>
      </c>
      <c r="Q47" s="5">
        <v>4662.3999999999996</v>
      </c>
      <c r="R47" s="5">
        <v>0</v>
      </c>
      <c r="S47" s="5">
        <v>1</v>
      </c>
    </row>
    <row r="48" spans="1:19" s="1" customFormat="1">
      <c r="A48" s="3" t="s">
        <v>23</v>
      </c>
      <c r="B48" s="3">
        <v>10</v>
      </c>
      <c r="C48" s="5">
        <v>1048</v>
      </c>
      <c r="D48" s="5">
        <v>1902</v>
      </c>
      <c r="E48" s="9">
        <f t="shared" si="0"/>
        <v>2950</v>
      </c>
      <c r="F48" s="5">
        <v>741</v>
      </c>
      <c r="G48" s="5">
        <v>1368</v>
      </c>
      <c r="H48" s="5">
        <v>176</v>
      </c>
      <c r="I48" s="5">
        <v>304</v>
      </c>
      <c r="J48" s="9">
        <f t="shared" si="1"/>
        <v>2589</v>
      </c>
      <c r="K48" s="5">
        <v>518</v>
      </c>
      <c r="L48" s="5">
        <v>562</v>
      </c>
      <c r="M48" s="5">
        <v>313</v>
      </c>
      <c r="N48" s="5">
        <v>696</v>
      </c>
      <c r="O48" s="8">
        <f t="shared" si="2"/>
        <v>2089</v>
      </c>
      <c r="P48" s="5">
        <v>2940</v>
      </c>
      <c r="Q48" s="5">
        <v>3858.9</v>
      </c>
      <c r="R48" s="5">
        <v>8</v>
      </c>
      <c r="S48" s="5">
        <v>69.5</v>
      </c>
    </row>
    <row r="49" spans="1:19" s="1" customFormat="1">
      <c r="A49" s="3" t="s">
        <v>23</v>
      </c>
      <c r="B49" s="3">
        <v>11</v>
      </c>
      <c r="C49" s="5">
        <v>968</v>
      </c>
      <c r="D49" s="5">
        <v>2330</v>
      </c>
      <c r="E49" s="9">
        <f t="shared" si="0"/>
        <v>3298</v>
      </c>
      <c r="F49" s="5">
        <v>628</v>
      </c>
      <c r="G49" s="5">
        <v>1710</v>
      </c>
      <c r="H49" s="5">
        <v>208</v>
      </c>
      <c r="I49" s="5">
        <v>420</v>
      </c>
      <c r="J49" s="9">
        <f t="shared" si="1"/>
        <v>2966</v>
      </c>
      <c r="K49" s="5">
        <v>500</v>
      </c>
      <c r="L49" s="5">
        <v>574</v>
      </c>
      <c r="M49" s="5">
        <v>374</v>
      </c>
      <c r="N49" s="5">
        <v>890</v>
      </c>
      <c r="O49" s="8">
        <f t="shared" si="2"/>
        <v>2338</v>
      </c>
      <c r="P49" s="5">
        <v>3085</v>
      </c>
      <c r="Q49" s="5">
        <v>4706.57</v>
      </c>
      <c r="R49" s="5">
        <v>2</v>
      </c>
      <c r="S49" s="5">
        <v>0</v>
      </c>
    </row>
    <row r="50" spans="1:19" s="1" customFormat="1">
      <c r="A50" s="3" t="s">
        <v>23</v>
      </c>
      <c r="B50" s="3">
        <v>12</v>
      </c>
      <c r="C50" s="5">
        <v>873</v>
      </c>
      <c r="D50" s="5">
        <v>2372</v>
      </c>
      <c r="E50" s="9">
        <f t="shared" si="0"/>
        <v>3245</v>
      </c>
      <c r="F50" s="5">
        <v>565</v>
      </c>
      <c r="G50" s="5">
        <v>1796</v>
      </c>
      <c r="H50" s="5">
        <v>178</v>
      </c>
      <c r="I50" s="5">
        <v>303</v>
      </c>
      <c r="J50" s="9">
        <f t="shared" si="1"/>
        <v>2842</v>
      </c>
      <c r="K50" s="5">
        <v>451</v>
      </c>
      <c r="L50" s="5">
        <v>540</v>
      </c>
      <c r="M50" s="5">
        <v>456</v>
      </c>
      <c r="N50" s="5">
        <v>920</v>
      </c>
      <c r="O50" s="8">
        <f t="shared" si="2"/>
        <v>2367</v>
      </c>
      <c r="P50" s="5">
        <v>2192</v>
      </c>
      <c r="Q50" s="5">
        <v>4489.25</v>
      </c>
      <c r="R50" s="5">
        <v>0</v>
      </c>
      <c r="S50" s="5">
        <v>0.4</v>
      </c>
    </row>
    <row r="51" spans="1:19" s="1" customFormat="1">
      <c r="A51" s="3" t="s">
        <v>24</v>
      </c>
      <c r="B51" s="3">
        <v>1</v>
      </c>
      <c r="C51" s="5">
        <v>675</v>
      </c>
      <c r="D51" s="5">
        <v>938</v>
      </c>
      <c r="E51" s="9">
        <f t="shared" si="0"/>
        <v>1613</v>
      </c>
      <c r="F51" s="5">
        <v>579</v>
      </c>
      <c r="G51" s="5">
        <v>757</v>
      </c>
      <c r="H51" s="5">
        <v>99</v>
      </c>
      <c r="I51" s="5">
        <v>142</v>
      </c>
      <c r="J51" s="9">
        <f t="shared" si="1"/>
        <v>1577</v>
      </c>
      <c r="K51" s="5">
        <v>464</v>
      </c>
      <c r="L51" s="5">
        <v>501</v>
      </c>
      <c r="M51" s="5">
        <v>102</v>
      </c>
      <c r="N51" s="5">
        <v>268</v>
      </c>
      <c r="O51" s="8">
        <f t="shared" si="2"/>
        <v>1335</v>
      </c>
      <c r="P51" s="5">
        <v>1686</v>
      </c>
      <c r="Q51" s="5">
        <v>1124.5</v>
      </c>
      <c r="R51" s="5">
        <v>0</v>
      </c>
      <c r="S51" s="5">
        <v>0</v>
      </c>
    </row>
    <row r="52" spans="1:19" s="1" customFormat="1">
      <c r="A52" s="3" t="s">
        <v>24</v>
      </c>
      <c r="B52" s="3">
        <v>2</v>
      </c>
      <c r="C52" s="5">
        <v>835</v>
      </c>
      <c r="D52" s="5">
        <v>936</v>
      </c>
      <c r="E52" s="9">
        <f t="shared" si="0"/>
        <v>1771</v>
      </c>
      <c r="F52" s="5">
        <v>608</v>
      </c>
      <c r="G52" s="5">
        <v>682</v>
      </c>
      <c r="H52" s="5">
        <v>72</v>
      </c>
      <c r="I52" s="5">
        <v>83</v>
      </c>
      <c r="J52" s="9">
        <f t="shared" si="1"/>
        <v>1445</v>
      </c>
      <c r="K52" s="5">
        <v>408</v>
      </c>
      <c r="L52" s="5">
        <v>418</v>
      </c>
      <c r="M52" s="5">
        <v>119</v>
      </c>
      <c r="N52" s="5">
        <v>345</v>
      </c>
      <c r="O52" s="8">
        <f t="shared" si="2"/>
        <v>1290</v>
      </c>
      <c r="P52" s="5">
        <v>1689</v>
      </c>
      <c r="Q52" s="5">
        <v>1231.25</v>
      </c>
      <c r="R52" s="5">
        <v>0</v>
      </c>
      <c r="S52" s="5">
        <v>0</v>
      </c>
    </row>
    <row r="53" spans="1:19" s="1" customFormat="1">
      <c r="A53" s="3" t="s">
        <v>24</v>
      </c>
      <c r="B53" s="3">
        <v>3</v>
      </c>
      <c r="C53" s="5">
        <v>689</v>
      </c>
      <c r="D53" s="5">
        <v>848</v>
      </c>
      <c r="E53" s="9">
        <f t="shared" si="0"/>
        <v>1537</v>
      </c>
      <c r="F53" s="5">
        <v>481</v>
      </c>
      <c r="G53" s="5">
        <v>637</v>
      </c>
      <c r="H53" s="5">
        <v>86</v>
      </c>
      <c r="I53" s="5">
        <v>100</v>
      </c>
      <c r="J53" s="9">
        <f t="shared" si="1"/>
        <v>1304</v>
      </c>
      <c r="K53" s="5">
        <v>292</v>
      </c>
      <c r="L53" s="5">
        <v>402</v>
      </c>
      <c r="M53" s="5">
        <v>121</v>
      </c>
      <c r="N53" s="5">
        <v>307</v>
      </c>
      <c r="O53" s="8">
        <f t="shared" si="2"/>
        <v>1122</v>
      </c>
      <c r="P53" s="5">
        <v>1435</v>
      </c>
      <c r="Q53" s="5">
        <v>1310</v>
      </c>
      <c r="R53" s="5">
        <v>0</v>
      </c>
      <c r="S53" s="5">
        <v>0</v>
      </c>
    </row>
    <row r="54" spans="1:19" s="1" customFormat="1">
      <c r="A54" s="3" t="s">
        <v>24</v>
      </c>
      <c r="B54" s="3">
        <v>4</v>
      </c>
      <c r="C54" s="5">
        <v>685</v>
      </c>
      <c r="D54" s="5">
        <v>836</v>
      </c>
      <c r="E54" s="9">
        <f t="shared" si="0"/>
        <v>1521</v>
      </c>
      <c r="F54" s="5">
        <v>449</v>
      </c>
      <c r="G54" s="5">
        <v>520</v>
      </c>
      <c r="H54" s="5">
        <v>63</v>
      </c>
      <c r="I54" s="5">
        <v>79</v>
      </c>
      <c r="J54" s="9">
        <f t="shared" si="1"/>
        <v>1111</v>
      </c>
      <c r="K54" s="5">
        <v>256</v>
      </c>
      <c r="L54" s="5">
        <v>323</v>
      </c>
      <c r="M54" s="5">
        <v>123</v>
      </c>
      <c r="N54" s="5">
        <v>267</v>
      </c>
      <c r="O54" s="8">
        <f t="shared" si="2"/>
        <v>969</v>
      </c>
      <c r="P54" s="5">
        <v>934</v>
      </c>
      <c r="Q54" s="5">
        <v>1184.25</v>
      </c>
      <c r="R54" s="5">
        <v>6</v>
      </c>
      <c r="S54" s="5">
        <v>0</v>
      </c>
    </row>
    <row r="55" spans="1:19" s="1" customFormat="1">
      <c r="A55" s="3" t="s">
        <v>24</v>
      </c>
      <c r="B55" s="3">
        <v>5</v>
      </c>
      <c r="C55" s="5">
        <v>591</v>
      </c>
      <c r="D55" s="5">
        <v>712</v>
      </c>
      <c r="E55" s="9">
        <f t="shared" si="0"/>
        <v>1303</v>
      </c>
      <c r="F55" s="5">
        <v>290</v>
      </c>
      <c r="G55" s="5">
        <v>393</v>
      </c>
      <c r="H55" s="5">
        <v>66</v>
      </c>
      <c r="I55" s="5">
        <v>62</v>
      </c>
      <c r="J55" s="9">
        <f t="shared" si="1"/>
        <v>811</v>
      </c>
      <c r="K55" s="5">
        <v>227</v>
      </c>
      <c r="L55" s="5">
        <v>199</v>
      </c>
      <c r="M55" s="5">
        <v>114</v>
      </c>
      <c r="N55" s="5">
        <v>141</v>
      </c>
      <c r="O55" s="8">
        <f t="shared" si="2"/>
        <v>681</v>
      </c>
      <c r="P55" s="5">
        <v>864</v>
      </c>
      <c r="Q55" s="5">
        <v>1182.9000000000001</v>
      </c>
      <c r="R55" s="5">
        <v>0</v>
      </c>
      <c r="S55" s="5">
        <v>0</v>
      </c>
    </row>
    <row r="56" spans="1:19" s="1" customFormat="1">
      <c r="A56" s="3" t="s">
        <v>24</v>
      </c>
      <c r="B56" s="3">
        <v>6</v>
      </c>
      <c r="C56" s="5">
        <v>514</v>
      </c>
      <c r="D56" s="5">
        <v>1055</v>
      </c>
      <c r="E56" s="9">
        <f t="shared" si="0"/>
        <v>1569</v>
      </c>
      <c r="F56" s="5">
        <v>321</v>
      </c>
      <c r="G56" s="5">
        <v>574</v>
      </c>
      <c r="H56" s="5">
        <v>59</v>
      </c>
      <c r="I56" s="5">
        <v>107</v>
      </c>
      <c r="J56" s="9">
        <f t="shared" si="1"/>
        <v>1061</v>
      </c>
      <c r="K56" s="5">
        <v>228</v>
      </c>
      <c r="L56" s="5">
        <v>251</v>
      </c>
      <c r="M56" s="5">
        <v>119</v>
      </c>
      <c r="N56" s="5">
        <v>302</v>
      </c>
      <c r="O56" s="8">
        <f t="shared" si="2"/>
        <v>900</v>
      </c>
      <c r="P56" s="5">
        <v>1511</v>
      </c>
      <c r="Q56" s="5">
        <v>1794.5</v>
      </c>
      <c r="R56" s="5">
        <v>0</v>
      </c>
      <c r="S56" s="5">
        <v>0</v>
      </c>
    </row>
    <row r="57" spans="1:19" s="1" customFormat="1">
      <c r="A57" s="3" t="s">
        <v>24</v>
      </c>
      <c r="B57" s="3">
        <v>7</v>
      </c>
      <c r="C57" s="5">
        <v>1099</v>
      </c>
      <c r="D57" s="5">
        <v>1435</v>
      </c>
      <c r="E57" s="9">
        <f t="shared" si="0"/>
        <v>2534</v>
      </c>
      <c r="F57" s="5">
        <v>909</v>
      </c>
      <c r="G57" s="5">
        <v>1201</v>
      </c>
      <c r="H57" s="5">
        <v>147</v>
      </c>
      <c r="I57" s="5">
        <v>185</v>
      </c>
      <c r="J57" s="9">
        <f t="shared" si="1"/>
        <v>2442</v>
      </c>
      <c r="K57" s="5">
        <v>586</v>
      </c>
      <c r="L57" s="5">
        <v>631</v>
      </c>
      <c r="M57" s="5">
        <v>410</v>
      </c>
      <c r="N57" s="5">
        <v>483</v>
      </c>
      <c r="O57" s="8">
        <f t="shared" si="2"/>
        <v>2110</v>
      </c>
      <c r="P57" s="5">
        <v>2889</v>
      </c>
      <c r="Q57" s="5">
        <v>2013.25</v>
      </c>
      <c r="R57" s="5">
        <v>0</v>
      </c>
      <c r="S57" s="5">
        <v>0</v>
      </c>
    </row>
    <row r="58" spans="1:19" s="1" customFormat="1">
      <c r="A58" s="3" t="s">
        <v>24</v>
      </c>
      <c r="B58" s="3">
        <v>8</v>
      </c>
      <c r="C58" s="5">
        <v>1012</v>
      </c>
      <c r="D58" s="5">
        <v>1437</v>
      </c>
      <c r="E58" s="9">
        <f t="shared" si="0"/>
        <v>2449</v>
      </c>
      <c r="F58" s="5">
        <v>830</v>
      </c>
      <c r="G58" s="5">
        <v>1216</v>
      </c>
      <c r="H58" s="5">
        <v>189</v>
      </c>
      <c r="I58" s="5">
        <v>199</v>
      </c>
      <c r="J58" s="9">
        <f t="shared" si="1"/>
        <v>2434</v>
      </c>
      <c r="K58" s="5">
        <v>554</v>
      </c>
      <c r="L58" s="5">
        <v>640</v>
      </c>
      <c r="M58" s="5">
        <v>359</v>
      </c>
      <c r="N58" s="5">
        <v>493</v>
      </c>
      <c r="O58" s="8">
        <f t="shared" si="2"/>
        <v>2046</v>
      </c>
      <c r="P58" s="5">
        <v>2311</v>
      </c>
      <c r="Q58" s="5">
        <v>1856.25</v>
      </c>
      <c r="R58" s="5">
        <v>0</v>
      </c>
      <c r="S58" s="5">
        <v>1</v>
      </c>
    </row>
    <row r="59" spans="1:19" s="1" customFormat="1">
      <c r="A59" s="3" t="s">
        <v>24</v>
      </c>
      <c r="B59" s="3">
        <v>9</v>
      </c>
      <c r="C59" s="5">
        <v>880</v>
      </c>
      <c r="D59" s="5">
        <v>1345</v>
      </c>
      <c r="E59" s="9">
        <f t="shared" si="0"/>
        <v>2225</v>
      </c>
      <c r="F59" s="5">
        <v>731</v>
      </c>
      <c r="G59" s="5">
        <v>1155</v>
      </c>
      <c r="H59" s="5">
        <v>159</v>
      </c>
      <c r="I59" s="5">
        <v>189</v>
      </c>
      <c r="J59" s="9">
        <f t="shared" si="1"/>
        <v>2234</v>
      </c>
      <c r="K59" s="5">
        <v>452</v>
      </c>
      <c r="L59" s="5">
        <v>687</v>
      </c>
      <c r="M59" s="5">
        <v>290</v>
      </c>
      <c r="N59" s="5">
        <v>457</v>
      </c>
      <c r="O59" s="8">
        <f t="shared" si="2"/>
        <v>1886</v>
      </c>
      <c r="P59" s="5">
        <v>2608</v>
      </c>
      <c r="Q59" s="5">
        <v>2636.15</v>
      </c>
      <c r="R59" s="5">
        <v>0</v>
      </c>
      <c r="S59" s="5">
        <v>0</v>
      </c>
    </row>
    <row r="60" spans="1:19" s="1" customFormat="1">
      <c r="A60" s="3" t="s">
        <v>24</v>
      </c>
      <c r="B60" s="3">
        <v>10</v>
      </c>
      <c r="C60" s="5">
        <v>785</v>
      </c>
      <c r="D60" s="5">
        <v>1307</v>
      </c>
      <c r="E60" s="9">
        <f t="shared" si="0"/>
        <v>2092</v>
      </c>
      <c r="F60" s="5">
        <v>644</v>
      </c>
      <c r="G60" s="5">
        <v>1053</v>
      </c>
      <c r="H60" s="5">
        <v>141</v>
      </c>
      <c r="I60" s="5">
        <v>229</v>
      </c>
      <c r="J60" s="9">
        <f t="shared" si="1"/>
        <v>2067</v>
      </c>
      <c r="K60" s="5">
        <v>373</v>
      </c>
      <c r="L60" s="5">
        <v>522</v>
      </c>
      <c r="M60" s="5">
        <v>285</v>
      </c>
      <c r="N60" s="5">
        <v>517</v>
      </c>
      <c r="O60" s="8">
        <f t="shared" si="2"/>
        <v>1697</v>
      </c>
      <c r="P60" s="5">
        <v>1608</v>
      </c>
      <c r="Q60" s="5">
        <v>1814.7</v>
      </c>
      <c r="R60" s="5">
        <v>0</v>
      </c>
      <c r="S60" s="5">
        <v>0</v>
      </c>
    </row>
    <row r="61" spans="1:19" s="1" customFormat="1">
      <c r="A61" s="3" t="s">
        <v>24</v>
      </c>
      <c r="B61" s="3">
        <v>11</v>
      </c>
      <c r="C61" s="5">
        <v>1181</v>
      </c>
      <c r="D61" s="5">
        <v>1774</v>
      </c>
      <c r="E61" s="9">
        <f t="shared" si="0"/>
        <v>2955</v>
      </c>
      <c r="F61" s="5">
        <v>930</v>
      </c>
      <c r="G61" s="5">
        <v>1452</v>
      </c>
      <c r="H61" s="5">
        <v>221</v>
      </c>
      <c r="I61" s="5">
        <v>298</v>
      </c>
      <c r="J61" s="9">
        <f t="shared" si="1"/>
        <v>2901</v>
      </c>
      <c r="K61" s="5">
        <v>582</v>
      </c>
      <c r="L61" s="5">
        <v>711</v>
      </c>
      <c r="M61" s="5">
        <v>284</v>
      </c>
      <c r="N61" s="5">
        <v>805</v>
      </c>
      <c r="O61" s="8">
        <f t="shared" si="2"/>
        <v>2382</v>
      </c>
      <c r="P61" s="5">
        <v>2018</v>
      </c>
      <c r="Q61" s="5">
        <v>1607.95</v>
      </c>
      <c r="R61" s="5">
        <v>0</v>
      </c>
      <c r="S61" s="5">
        <v>1</v>
      </c>
    </row>
    <row r="62" spans="1:19" s="1" customFormat="1">
      <c r="A62" s="3" t="s">
        <v>24</v>
      </c>
      <c r="B62" s="3">
        <v>12</v>
      </c>
      <c r="C62" s="5">
        <v>921</v>
      </c>
      <c r="D62" s="5">
        <v>1739</v>
      </c>
      <c r="E62" s="9">
        <f t="shared" si="0"/>
        <v>2660</v>
      </c>
      <c r="F62" s="5">
        <v>715</v>
      </c>
      <c r="G62" s="5">
        <v>1394</v>
      </c>
      <c r="H62" s="5">
        <v>185</v>
      </c>
      <c r="I62" s="5">
        <v>299</v>
      </c>
      <c r="J62" s="9">
        <f t="shared" si="1"/>
        <v>2593</v>
      </c>
      <c r="K62" s="5">
        <v>485</v>
      </c>
      <c r="L62" s="5">
        <v>573</v>
      </c>
      <c r="M62" s="5">
        <v>353</v>
      </c>
      <c r="N62" s="5">
        <v>718</v>
      </c>
      <c r="O62" s="8">
        <f t="shared" si="2"/>
        <v>2129</v>
      </c>
      <c r="P62" s="5">
        <v>1435</v>
      </c>
      <c r="Q62" s="5">
        <v>1978.65</v>
      </c>
      <c r="R62" s="5">
        <v>0</v>
      </c>
      <c r="S62" s="5">
        <v>0</v>
      </c>
    </row>
    <row r="63" spans="1:19" s="1" customFormat="1">
      <c r="A63" s="3" t="s">
        <v>25</v>
      </c>
      <c r="B63" s="3">
        <v>1</v>
      </c>
      <c r="C63" s="5">
        <v>692</v>
      </c>
      <c r="D63" s="5">
        <v>479</v>
      </c>
      <c r="E63" s="9">
        <f t="shared" si="0"/>
        <v>1171</v>
      </c>
      <c r="F63" s="5">
        <v>537</v>
      </c>
      <c r="G63" s="5">
        <v>284</v>
      </c>
      <c r="H63" s="5">
        <v>88</v>
      </c>
      <c r="I63" s="5">
        <v>98</v>
      </c>
      <c r="J63" s="9">
        <f t="shared" si="1"/>
        <v>1007</v>
      </c>
      <c r="K63" s="5">
        <v>298</v>
      </c>
      <c r="L63" s="5">
        <v>194</v>
      </c>
      <c r="M63" s="5">
        <v>196</v>
      </c>
      <c r="N63" s="5">
        <v>141</v>
      </c>
      <c r="O63" s="8">
        <f t="shared" si="2"/>
        <v>829</v>
      </c>
      <c r="P63" s="5">
        <v>778</v>
      </c>
      <c r="Q63" s="5">
        <v>775.5</v>
      </c>
      <c r="R63" s="5">
        <v>150</v>
      </c>
      <c r="S63" s="5">
        <v>61</v>
      </c>
    </row>
    <row r="64" spans="1:19" s="1" customFormat="1">
      <c r="A64" s="3" t="s">
        <v>25</v>
      </c>
      <c r="B64" s="3">
        <v>2</v>
      </c>
      <c r="C64" s="5">
        <v>679</v>
      </c>
      <c r="D64" s="5">
        <v>713</v>
      </c>
      <c r="E64" s="9">
        <f t="shared" si="0"/>
        <v>1392</v>
      </c>
      <c r="F64" s="5">
        <v>486</v>
      </c>
      <c r="G64" s="5">
        <v>505</v>
      </c>
      <c r="H64" s="5">
        <v>52</v>
      </c>
      <c r="I64" s="5">
        <v>45</v>
      </c>
      <c r="J64" s="9">
        <f t="shared" si="1"/>
        <v>1088</v>
      </c>
      <c r="K64" s="5">
        <v>292</v>
      </c>
      <c r="L64" s="5">
        <v>201</v>
      </c>
      <c r="M64" s="5">
        <v>270</v>
      </c>
      <c r="N64" s="5">
        <v>250</v>
      </c>
      <c r="O64" s="8">
        <f t="shared" si="2"/>
        <v>1013</v>
      </c>
      <c r="P64" s="5">
        <v>861</v>
      </c>
      <c r="Q64" s="5">
        <v>1094</v>
      </c>
      <c r="R64" s="5">
        <v>0</v>
      </c>
      <c r="S64" s="5">
        <v>0</v>
      </c>
    </row>
    <row r="65" spans="1:19" s="1" customFormat="1">
      <c r="A65" s="3" t="s">
        <v>25</v>
      </c>
      <c r="B65" s="3">
        <v>3</v>
      </c>
      <c r="C65" s="5">
        <v>948</v>
      </c>
      <c r="D65" s="5">
        <v>304</v>
      </c>
      <c r="E65" s="9">
        <f t="shared" si="0"/>
        <v>1252</v>
      </c>
      <c r="F65" s="5">
        <v>776</v>
      </c>
      <c r="G65" s="5">
        <v>225</v>
      </c>
      <c r="H65" s="5">
        <v>64</v>
      </c>
      <c r="I65" s="5">
        <v>23</v>
      </c>
      <c r="J65" s="9">
        <f t="shared" si="1"/>
        <v>1088</v>
      </c>
      <c r="K65" s="5">
        <v>241</v>
      </c>
      <c r="L65" s="5">
        <v>335</v>
      </c>
      <c r="M65" s="5">
        <v>207</v>
      </c>
      <c r="N65" s="5">
        <v>262</v>
      </c>
      <c r="O65" s="8">
        <f t="shared" si="2"/>
        <v>1045</v>
      </c>
      <c r="P65" s="5">
        <v>1457</v>
      </c>
      <c r="Q65" s="5">
        <v>1237</v>
      </c>
      <c r="R65" s="5">
        <v>0</v>
      </c>
      <c r="S65" s="5">
        <v>2</v>
      </c>
    </row>
    <row r="66" spans="1:19" s="1" customFormat="1">
      <c r="A66" s="3" t="s">
        <v>25</v>
      </c>
      <c r="B66" s="3">
        <v>4</v>
      </c>
      <c r="C66" s="5">
        <v>489</v>
      </c>
      <c r="D66" s="5">
        <v>469</v>
      </c>
      <c r="E66" s="9">
        <f t="shared" si="0"/>
        <v>958</v>
      </c>
      <c r="F66" s="5">
        <v>349</v>
      </c>
      <c r="G66" s="5">
        <v>352</v>
      </c>
      <c r="H66" s="5">
        <v>47</v>
      </c>
      <c r="I66" s="5">
        <v>72</v>
      </c>
      <c r="J66" s="9">
        <f t="shared" si="1"/>
        <v>820</v>
      </c>
      <c r="K66" s="5">
        <v>176</v>
      </c>
      <c r="L66" s="5">
        <v>147</v>
      </c>
      <c r="M66" s="5">
        <v>103</v>
      </c>
      <c r="N66" s="5">
        <v>233</v>
      </c>
      <c r="O66" s="8">
        <f t="shared" si="2"/>
        <v>659</v>
      </c>
      <c r="P66" s="5">
        <v>1200</v>
      </c>
      <c r="Q66" s="5">
        <v>1095</v>
      </c>
      <c r="R66" s="5">
        <v>3</v>
      </c>
      <c r="S66" s="5">
        <v>0</v>
      </c>
    </row>
    <row r="67" spans="1:19" s="1" customFormat="1">
      <c r="A67" s="3" t="s">
        <v>25</v>
      </c>
      <c r="B67" s="3">
        <v>5</v>
      </c>
      <c r="C67" s="5">
        <v>476</v>
      </c>
      <c r="D67" s="5">
        <v>298</v>
      </c>
      <c r="E67" s="9">
        <f t="shared" si="0"/>
        <v>774</v>
      </c>
      <c r="F67" s="5">
        <v>191</v>
      </c>
      <c r="G67" s="5">
        <v>118</v>
      </c>
      <c r="H67" s="5">
        <v>30</v>
      </c>
      <c r="I67" s="5">
        <v>13</v>
      </c>
      <c r="J67" s="9">
        <f t="shared" si="1"/>
        <v>352</v>
      </c>
      <c r="K67" s="5">
        <v>133</v>
      </c>
      <c r="L67" s="5">
        <v>60</v>
      </c>
      <c r="M67" s="5">
        <v>27</v>
      </c>
      <c r="N67" s="5">
        <v>67</v>
      </c>
      <c r="O67" s="8">
        <f t="shared" si="2"/>
        <v>287</v>
      </c>
      <c r="P67" s="5">
        <v>1138</v>
      </c>
      <c r="Q67" s="5">
        <v>694</v>
      </c>
      <c r="R67" s="5">
        <v>4</v>
      </c>
      <c r="S67" s="5">
        <v>4</v>
      </c>
    </row>
    <row r="68" spans="1:19" s="1" customFormat="1">
      <c r="A68" s="3" t="s">
        <v>25</v>
      </c>
      <c r="B68" s="3">
        <v>6</v>
      </c>
      <c r="C68" s="5">
        <v>653</v>
      </c>
      <c r="D68" s="5">
        <v>484</v>
      </c>
      <c r="E68" s="9">
        <f t="shared" ref="E68:E74" si="3">SUM(C68:D68)</f>
        <v>1137</v>
      </c>
      <c r="F68" s="5">
        <v>417</v>
      </c>
      <c r="G68" s="5">
        <v>365</v>
      </c>
      <c r="H68" s="5">
        <v>59</v>
      </c>
      <c r="I68" s="5">
        <v>52</v>
      </c>
      <c r="J68" s="9">
        <f t="shared" ref="J68:J74" si="4">SUM(F68:I68)</f>
        <v>893</v>
      </c>
      <c r="K68" s="5">
        <v>198</v>
      </c>
      <c r="L68" s="5">
        <v>173</v>
      </c>
      <c r="M68" s="5">
        <v>130</v>
      </c>
      <c r="N68" s="5">
        <v>174</v>
      </c>
      <c r="O68" s="8">
        <f t="shared" ref="O68:O74" si="5">SUM(K68:N68)</f>
        <v>675</v>
      </c>
      <c r="P68" s="5">
        <v>1414</v>
      </c>
      <c r="Q68" s="5">
        <v>894</v>
      </c>
      <c r="R68" s="5">
        <v>0</v>
      </c>
      <c r="S68" s="5">
        <v>2</v>
      </c>
    </row>
    <row r="69" spans="1:19" s="1" customFormat="1">
      <c r="A69" s="3" t="s">
        <v>25</v>
      </c>
      <c r="B69" s="3">
        <v>7</v>
      </c>
      <c r="C69" s="5">
        <v>564</v>
      </c>
      <c r="D69" s="5">
        <v>1068</v>
      </c>
      <c r="E69" s="9">
        <f t="shared" si="3"/>
        <v>1632</v>
      </c>
      <c r="F69" s="5">
        <v>294</v>
      </c>
      <c r="G69" s="5">
        <v>589</v>
      </c>
      <c r="H69" s="5">
        <v>76</v>
      </c>
      <c r="I69" s="5">
        <v>144</v>
      </c>
      <c r="J69" s="9">
        <f t="shared" si="4"/>
        <v>1103</v>
      </c>
      <c r="K69" s="5">
        <v>210</v>
      </c>
      <c r="L69" s="5">
        <v>290</v>
      </c>
      <c r="M69" s="5">
        <v>103</v>
      </c>
      <c r="N69" s="5">
        <v>277</v>
      </c>
      <c r="O69" s="8">
        <f t="shared" si="5"/>
        <v>880</v>
      </c>
      <c r="P69" s="5">
        <v>3130</v>
      </c>
      <c r="Q69" s="5">
        <v>1927.75</v>
      </c>
      <c r="R69" s="5">
        <v>0</v>
      </c>
      <c r="S69" s="5">
        <v>2.25</v>
      </c>
    </row>
    <row r="70" spans="1:19" s="1" customFormat="1">
      <c r="A70" s="3" t="s">
        <v>25</v>
      </c>
      <c r="B70" s="3">
        <v>8</v>
      </c>
      <c r="C70" s="5">
        <v>396</v>
      </c>
      <c r="D70" s="5">
        <v>1143</v>
      </c>
      <c r="E70" s="9">
        <f t="shared" si="3"/>
        <v>1539</v>
      </c>
      <c r="F70" s="5">
        <v>266</v>
      </c>
      <c r="G70" s="5">
        <v>826</v>
      </c>
      <c r="H70" s="5">
        <v>53</v>
      </c>
      <c r="I70" s="5">
        <v>131</v>
      </c>
      <c r="J70" s="9">
        <f t="shared" si="4"/>
        <v>1276</v>
      </c>
      <c r="K70" s="5">
        <v>218</v>
      </c>
      <c r="L70" s="5">
        <v>298</v>
      </c>
      <c r="M70" s="5">
        <v>105</v>
      </c>
      <c r="N70" s="5">
        <v>463</v>
      </c>
      <c r="O70" s="8">
        <f t="shared" si="5"/>
        <v>1084</v>
      </c>
      <c r="P70" s="5">
        <v>2090</v>
      </c>
      <c r="Q70" s="5">
        <v>2097.5</v>
      </c>
      <c r="R70" s="5">
        <v>72</v>
      </c>
      <c r="S70" s="5">
        <v>0.75</v>
      </c>
    </row>
    <row r="71" spans="1:19" s="1" customFormat="1">
      <c r="A71" s="3" t="s">
        <v>25</v>
      </c>
      <c r="B71" s="3">
        <v>9</v>
      </c>
      <c r="C71" s="5">
        <v>837</v>
      </c>
      <c r="D71" s="5">
        <v>1229</v>
      </c>
      <c r="E71" s="9">
        <f t="shared" si="3"/>
        <v>2066</v>
      </c>
      <c r="F71" s="5">
        <v>716</v>
      </c>
      <c r="G71" s="5">
        <v>1062</v>
      </c>
      <c r="H71" s="5">
        <v>115</v>
      </c>
      <c r="I71" s="5">
        <v>151</v>
      </c>
      <c r="J71" s="9">
        <f t="shared" si="4"/>
        <v>2044</v>
      </c>
      <c r="K71" s="5">
        <v>373</v>
      </c>
      <c r="L71" s="5">
        <v>402</v>
      </c>
      <c r="M71" s="5">
        <v>224</v>
      </c>
      <c r="N71" s="5">
        <v>790</v>
      </c>
      <c r="O71" s="8">
        <f t="shared" si="5"/>
        <v>1789</v>
      </c>
      <c r="P71" s="5">
        <v>2415</v>
      </c>
      <c r="Q71" s="5">
        <v>3184.75</v>
      </c>
      <c r="R71" s="5">
        <v>238</v>
      </c>
      <c r="S71" s="5">
        <v>0.5</v>
      </c>
    </row>
    <row r="72" spans="1:19" s="1" customFormat="1">
      <c r="A72" s="3" t="s">
        <v>25</v>
      </c>
      <c r="B72" s="3">
        <v>10</v>
      </c>
      <c r="C72" s="5">
        <v>805</v>
      </c>
      <c r="D72" s="5">
        <v>1269</v>
      </c>
      <c r="E72" s="9">
        <f t="shared" si="3"/>
        <v>2074</v>
      </c>
      <c r="F72" s="5">
        <v>635</v>
      </c>
      <c r="G72" s="5">
        <v>1079</v>
      </c>
      <c r="H72" s="5">
        <v>115</v>
      </c>
      <c r="I72" s="5">
        <v>130</v>
      </c>
      <c r="J72" s="9">
        <f t="shared" si="4"/>
        <v>1959</v>
      </c>
      <c r="K72" s="5">
        <v>385</v>
      </c>
      <c r="L72" s="5">
        <v>396</v>
      </c>
      <c r="M72" s="5">
        <v>347</v>
      </c>
      <c r="N72" s="5">
        <v>551</v>
      </c>
      <c r="O72" s="8">
        <f t="shared" si="5"/>
        <v>1679</v>
      </c>
      <c r="P72" s="5">
        <v>1210</v>
      </c>
      <c r="Q72" s="5">
        <v>1778</v>
      </c>
      <c r="R72" s="5">
        <v>0</v>
      </c>
      <c r="S72" s="5">
        <v>0</v>
      </c>
    </row>
    <row r="73" spans="1:19" s="1" customFormat="1">
      <c r="A73" s="3" t="s">
        <v>25</v>
      </c>
      <c r="B73" s="3">
        <v>11</v>
      </c>
      <c r="C73" s="5">
        <v>973</v>
      </c>
      <c r="D73" s="5">
        <v>1512</v>
      </c>
      <c r="E73" s="9">
        <f t="shared" si="3"/>
        <v>2485</v>
      </c>
      <c r="F73" s="5">
        <v>784</v>
      </c>
      <c r="G73" s="5">
        <v>1245</v>
      </c>
      <c r="H73" s="5">
        <v>107</v>
      </c>
      <c r="I73" s="5">
        <v>200</v>
      </c>
      <c r="J73" s="9">
        <f t="shared" si="4"/>
        <v>2336</v>
      </c>
      <c r="K73" s="5">
        <v>497</v>
      </c>
      <c r="L73" s="5">
        <v>593</v>
      </c>
      <c r="M73" s="5">
        <v>438</v>
      </c>
      <c r="N73" s="5">
        <v>507</v>
      </c>
      <c r="O73" s="8">
        <f t="shared" si="5"/>
        <v>2035</v>
      </c>
      <c r="P73" s="5">
        <v>1497</v>
      </c>
      <c r="Q73" s="5">
        <v>1594.75</v>
      </c>
      <c r="R73" s="5">
        <v>0</v>
      </c>
      <c r="S73" s="5">
        <v>0</v>
      </c>
    </row>
    <row r="74" spans="1:19" s="1" customFormat="1">
      <c r="A74" s="3" t="s">
        <v>25</v>
      </c>
      <c r="B74" s="3">
        <v>12</v>
      </c>
      <c r="C74" s="5">
        <v>868</v>
      </c>
      <c r="D74" s="5">
        <v>1270</v>
      </c>
      <c r="E74" s="9">
        <f t="shared" si="3"/>
        <v>2138</v>
      </c>
      <c r="F74" s="5">
        <v>749</v>
      </c>
      <c r="G74" s="5">
        <v>1056</v>
      </c>
      <c r="H74" s="5">
        <v>93</v>
      </c>
      <c r="I74" s="5">
        <v>186</v>
      </c>
      <c r="J74" s="9">
        <f t="shared" si="4"/>
        <v>2084</v>
      </c>
      <c r="K74" s="5">
        <v>417</v>
      </c>
      <c r="L74" s="5">
        <v>449</v>
      </c>
      <c r="M74" s="5">
        <v>258</v>
      </c>
      <c r="N74" s="5">
        <v>720</v>
      </c>
      <c r="O74" s="8">
        <f t="shared" si="5"/>
        <v>1844</v>
      </c>
      <c r="P74" s="5">
        <v>1577</v>
      </c>
      <c r="Q74" s="5">
        <v>1976.25</v>
      </c>
      <c r="R74" s="5">
        <v>0</v>
      </c>
      <c r="S74" s="5">
        <v>0.5</v>
      </c>
    </row>
  </sheetData>
  <mergeCells count="1">
    <mergeCell ref="A1:O1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71FA0-6115-4C61-9A17-C7A87F0B356D}"/>
</file>

<file path=customXml/itemProps2.xml><?xml version="1.0" encoding="utf-8"?>
<ds:datastoreItem xmlns:ds="http://schemas.openxmlformats.org/officeDocument/2006/customXml" ds:itemID="{8B266352-D323-4123-911C-254FD0C5D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2026-07-30T23:17:45Z</dcterms:created>
  <dcterms:modified xsi:type="dcterms:W3CDTF">2026-07-30T23:17:58Z</dcterms:modified>
  <cp:category/>
  <cp:contentStatus/>
</cp:coreProperties>
</file>