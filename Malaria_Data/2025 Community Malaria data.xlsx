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F0\EXCELCNV\2b449a87-e66b-4630-9f4e-e977b7ceb108\"/>
    </mc:Choice>
  </mc:AlternateContent>
  <xr:revisionPtr revIDLastSave="0" documentId="8_{97D76E8C-5FE0-4E64-B17E-BDA755E0244C}" xr6:coauthVersionLast="47" xr6:coauthVersionMax="47" xr10:uidLastSave="{00000000-0000-0000-0000-000000000000}"/>
  <bookViews>
    <workbookView xWindow="-60" yWindow="-60" windowWidth="15480" windowHeight="11640" xr2:uid="{F01464CE-B0BE-4EA8-B5AF-EF2370DDA905}"/>
  </bookViews>
  <sheets>
    <sheet name="Sheet 1" sheetId="1" r:id="rId1"/>
  </sheets>
  <definedNames>
    <definedName name="_xlnm._FilterDatabase" localSheetId="0" hidden="1">'Sheet 1'!$A$2:$S$74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3" i="1"/>
</calcChain>
</file>

<file path=xl/sharedStrings.xml><?xml version="1.0" encoding="utf-8"?>
<sst xmlns="http://schemas.openxmlformats.org/spreadsheetml/2006/main" count="92" uniqueCount="26">
  <si>
    <t xml:space="preserve">2025 COMMUNITY MALARIA DATA </t>
  </si>
  <si>
    <t>Subcounty</t>
  </si>
  <si>
    <t>Month</t>
  </si>
  <si>
    <t>Cases.Fever &lt; 5</t>
  </si>
  <si>
    <t>Cases.Fever &gt;= 5</t>
  </si>
  <si>
    <t>Cases.Fever</t>
  </si>
  <si>
    <t>Cases.Fever.with.RDT.Positive &lt; 5</t>
  </si>
  <si>
    <t>Cases.Fever.with.RDT.Positive &gt;= 5</t>
  </si>
  <si>
    <t>Cases.Fever.with.RDT. negative &lt; 5</t>
  </si>
  <si>
    <t>Cases.Fever.with.RDT. negative &gt;= 5</t>
  </si>
  <si>
    <t>Cases.Fever.with.RDT.Done</t>
  </si>
  <si>
    <t>CHEW Weight band 5 to &lt;15 kg  (&lt;3 yrs)</t>
  </si>
  <si>
    <t>CHEW Weight band 15 to &lt;25 kg  (3 to &lt;8 yrs)</t>
  </si>
  <si>
    <t>CHEW Weight band 25 to &lt;35 kg (8 to &lt;12 yrs)</t>
  </si>
  <si>
    <t>CHEW Weight band ≥ 35 kg (≥ 12 yrs)</t>
  </si>
  <si>
    <t>Cases.Fever.with.RDT.Positive.and.ACT</t>
  </si>
  <si>
    <t>Stock mRDTs</t>
  </si>
  <si>
    <t>Stock ACTs</t>
  </si>
  <si>
    <t>Losses mRDTs</t>
  </si>
  <si>
    <t>Losses ACTs</t>
  </si>
  <si>
    <t>Alego Usonga Sub County</t>
  </si>
  <si>
    <t>Bondo Sub County</t>
  </si>
  <si>
    <t>Gem Sub County</t>
  </si>
  <si>
    <t>Rarieda Sub County</t>
  </si>
  <si>
    <t>Ugenya Sub County</t>
  </si>
  <si>
    <t>Ugunja Sub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</si>
</sst>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/>
    <xf numFmtId="3" fontId="3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5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24E2-BCF2-4D37-B166-E154BF21FFE1}">
  <dimension ref="A1:S74"/>
  <sheetViews>
    <sheetView tabSelected="1" workbookViewId="0">
      <pane xSplit="2" ySplit="2" topLeftCell="C3" activePane="bottomRight" state="frozen"/>
      <selection pane="bottomRight" activeCell="B63" sqref="B63:B74"/>
      <selection pane="bottomLeft" activeCell="A3" sqref="A3"/>
      <selection pane="topRight" activeCell="C1" sqref="C1"/>
    </sheetView>
  </sheetViews>
  <sheetFormatPr defaultRowHeight="15.75"/>
  <cols>
    <col min="1" max="1" width="24.140625" bestFit="1" customWidth="1"/>
    <col min="2" max="2" width="14.28515625" bestFit="1" customWidth="1"/>
    <col min="3" max="3" width="15.5703125" bestFit="1" customWidth="1"/>
    <col min="4" max="4" width="16.85546875" bestFit="1" customWidth="1"/>
    <col min="5" max="5" width="12" bestFit="1" customWidth="1"/>
    <col min="6" max="8" width="20.42578125" bestFit="1" customWidth="1"/>
    <col min="9" max="9" width="18.140625" customWidth="1"/>
    <col min="10" max="10" width="16.85546875" customWidth="1"/>
    <col min="11" max="11" width="16.42578125" bestFit="1" customWidth="1"/>
    <col min="12" max="12" width="17.5703125" bestFit="1" customWidth="1"/>
    <col min="13" max="13" width="18.42578125" customWidth="1"/>
    <col min="14" max="14" width="15.28515625" bestFit="1" customWidth="1"/>
    <col min="15" max="15" width="23.140625" customWidth="1"/>
    <col min="16" max="16" width="15.5703125" style="9" customWidth="1"/>
    <col min="17" max="17" width="16.42578125" style="9" customWidth="1"/>
    <col min="18" max="18" width="16" style="9" customWidth="1"/>
    <col min="19" max="19" width="14.85546875" style="9" customWidth="1"/>
  </cols>
  <sheetData>
    <row r="1" spans="1:19" ht="18.7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</row>
    <row r="2" spans="1:19" s="3" customFormat="1" ht="63">
      <c r="A2" s="10" t="s">
        <v>1</v>
      </c>
      <c r="B2" s="10" t="s">
        <v>2</v>
      </c>
      <c r="C2" s="2" t="s">
        <v>3</v>
      </c>
      <c r="D2" s="2" t="s">
        <v>4</v>
      </c>
      <c r="E2" s="6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6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6" t="s">
        <v>15</v>
      </c>
      <c r="P2" s="8" t="s">
        <v>16</v>
      </c>
      <c r="Q2" s="8" t="s">
        <v>17</v>
      </c>
      <c r="R2" s="8" t="s">
        <v>18</v>
      </c>
      <c r="S2" s="8" t="s">
        <v>19</v>
      </c>
    </row>
    <row r="3" spans="1:19" s="1" customFormat="1">
      <c r="A3" s="4" t="s">
        <v>20</v>
      </c>
      <c r="B3" s="4">
        <v>1</v>
      </c>
      <c r="C3" s="5">
        <v>1587</v>
      </c>
      <c r="D3" s="5">
        <v>3564</v>
      </c>
      <c r="E3" s="7">
        <f>SUM(C3:D3)</f>
        <v>5151</v>
      </c>
      <c r="F3" s="5">
        <v>798</v>
      </c>
      <c r="G3" s="5">
        <v>2192</v>
      </c>
      <c r="H3" s="5">
        <v>176</v>
      </c>
      <c r="I3" s="5">
        <v>381</v>
      </c>
      <c r="J3" s="7">
        <f>SUM(F3:I3)</f>
        <v>3547</v>
      </c>
      <c r="K3" s="5">
        <v>513</v>
      </c>
      <c r="L3" s="5">
        <v>819</v>
      </c>
      <c r="M3" s="5">
        <v>483</v>
      </c>
      <c r="N3" s="5">
        <v>1175</v>
      </c>
      <c r="O3" s="7">
        <f>SUM(K3:N3)</f>
        <v>2990</v>
      </c>
      <c r="P3" s="5">
        <v>5039</v>
      </c>
      <c r="Q3" s="5">
        <v>5797.16</v>
      </c>
      <c r="R3" s="5">
        <v>5</v>
      </c>
      <c r="S3" s="5">
        <v>79.75</v>
      </c>
    </row>
    <row r="4" spans="1:19" s="1" customFormat="1">
      <c r="A4" s="4" t="s">
        <v>20</v>
      </c>
      <c r="B4" s="4">
        <v>2</v>
      </c>
      <c r="C4" s="5">
        <v>1252</v>
      </c>
      <c r="D4" s="5">
        <v>2662</v>
      </c>
      <c r="E4" s="7">
        <f t="shared" ref="E4:E67" si="0">SUM(C4:D4)</f>
        <v>3914</v>
      </c>
      <c r="F4" s="5">
        <v>630</v>
      </c>
      <c r="G4" s="5">
        <v>1432</v>
      </c>
      <c r="H4" s="5">
        <v>162</v>
      </c>
      <c r="I4" s="5">
        <v>248</v>
      </c>
      <c r="J4" s="7">
        <f t="shared" ref="J4:J67" si="1">SUM(F4:I4)</f>
        <v>2472</v>
      </c>
      <c r="K4" s="5">
        <v>388</v>
      </c>
      <c r="L4" s="5">
        <v>526</v>
      </c>
      <c r="M4" s="5">
        <v>331</v>
      </c>
      <c r="N4" s="5">
        <v>817</v>
      </c>
      <c r="O4" s="7">
        <f t="shared" ref="O4:O67" si="2">SUM(K4:N4)</f>
        <v>2062</v>
      </c>
      <c r="P4" s="5">
        <v>5178</v>
      </c>
      <c r="Q4" s="5">
        <v>5392.26</v>
      </c>
      <c r="R4" s="5">
        <v>0</v>
      </c>
      <c r="S4" s="5">
        <v>53.5</v>
      </c>
    </row>
    <row r="5" spans="1:19" s="1" customFormat="1">
      <c r="A5" s="4" t="s">
        <v>20</v>
      </c>
      <c r="B5" s="4">
        <v>3</v>
      </c>
      <c r="C5" s="5">
        <v>1339</v>
      </c>
      <c r="D5" s="5">
        <v>3236</v>
      </c>
      <c r="E5" s="7">
        <f t="shared" si="0"/>
        <v>4575</v>
      </c>
      <c r="F5" s="5">
        <v>715</v>
      </c>
      <c r="G5" s="5">
        <v>2013</v>
      </c>
      <c r="H5" s="5">
        <v>193</v>
      </c>
      <c r="I5" s="5">
        <v>395</v>
      </c>
      <c r="J5" s="7">
        <f t="shared" si="1"/>
        <v>3316</v>
      </c>
      <c r="K5" s="5">
        <v>434</v>
      </c>
      <c r="L5" s="5">
        <v>672</v>
      </c>
      <c r="M5" s="5">
        <v>407</v>
      </c>
      <c r="N5" s="5">
        <v>1215</v>
      </c>
      <c r="O5" s="7">
        <f t="shared" si="2"/>
        <v>2728</v>
      </c>
      <c r="P5" s="5">
        <v>6266</v>
      </c>
      <c r="Q5" s="5">
        <v>6714.6</v>
      </c>
      <c r="R5" s="5">
        <v>10</v>
      </c>
      <c r="S5" s="5">
        <v>365.5</v>
      </c>
    </row>
    <row r="6" spans="1:19" s="1" customFormat="1">
      <c r="A6" s="4" t="s">
        <v>20</v>
      </c>
      <c r="B6" s="4">
        <v>4</v>
      </c>
      <c r="C6" s="5">
        <v>1328</v>
      </c>
      <c r="D6" s="5">
        <v>3460</v>
      </c>
      <c r="E6" s="7">
        <f t="shared" si="0"/>
        <v>4788</v>
      </c>
      <c r="F6" s="5">
        <v>960</v>
      </c>
      <c r="G6" s="5">
        <v>2468</v>
      </c>
      <c r="H6" s="5">
        <v>238</v>
      </c>
      <c r="I6" s="5">
        <v>567</v>
      </c>
      <c r="J6" s="7">
        <f t="shared" si="1"/>
        <v>4233</v>
      </c>
      <c r="K6" s="5">
        <v>573</v>
      </c>
      <c r="L6" s="5">
        <v>827</v>
      </c>
      <c r="M6" s="5">
        <v>602</v>
      </c>
      <c r="N6" s="5">
        <v>1443</v>
      </c>
      <c r="O6" s="7">
        <f t="shared" si="2"/>
        <v>3445</v>
      </c>
      <c r="P6" s="5">
        <v>7792</v>
      </c>
      <c r="Q6" s="5">
        <v>7549.9</v>
      </c>
      <c r="R6" s="5">
        <v>1</v>
      </c>
      <c r="S6" s="5">
        <v>58.25</v>
      </c>
    </row>
    <row r="7" spans="1:19" s="1" customFormat="1">
      <c r="A7" s="4" t="s">
        <v>20</v>
      </c>
      <c r="B7" s="4">
        <v>5</v>
      </c>
      <c r="C7" s="5">
        <v>1393</v>
      </c>
      <c r="D7" s="5">
        <v>3690</v>
      </c>
      <c r="E7" s="7">
        <f t="shared" si="0"/>
        <v>5083</v>
      </c>
      <c r="F7" s="5">
        <v>919</v>
      </c>
      <c r="G7" s="5">
        <v>2546</v>
      </c>
      <c r="H7" s="5">
        <v>196</v>
      </c>
      <c r="I7" s="5">
        <v>484</v>
      </c>
      <c r="J7" s="7">
        <f t="shared" si="1"/>
        <v>4145</v>
      </c>
      <c r="K7" s="5">
        <v>574</v>
      </c>
      <c r="L7" s="5">
        <v>857</v>
      </c>
      <c r="M7" s="5">
        <v>589</v>
      </c>
      <c r="N7" s="5">
        <v>1445</v>
      </c>
      <c r="O7" s="7">
        <f t="shared" si="2"/>
        <v>3465</v>
      </c>
      <c r="P7" s="5">
        <v>6218</v>
      </c>
      <c r="Q7" s="5">
        <v>6633.24</v>
      </c>
      <c r="R7" s="5">
        <v>117</v>
      </c>
      <c r="S7" s="5">
        <v>159.5</v>
      </c>
    </row>
    <row r="8" spans="1:19" s="1" customFormat="1">
      <c r="A8" s="4" t="s">
        <v>20</v>
      </c>
      <c r="B8" s="4">
        <v>6</v>
      </c>
      <c r="C8" s="5">
        <v>1583</v>
      </c>
      <c r="D8" s="5">
        <v>4124</v>
      </c>
      <c r="E8" s="7">
        <f t="shared" si="0"/>
        <v>5707</v>
      </c>
      <c r="F8" s="5">
        <v>1088</v>
      </c>
      <c r="G8" s="5">
        <v>2842</v>
      </c>
      <c r="H8" s="5">
        <v>221</v>
      </c>
      <c r="I8" s="5">
        <v>523</v>
      </c>
      <c r="J8" s="7">
        <f t="shared" si="1"/>
        <v>4674</v>
      </c>
      <c r="K8" s="5">
        <v>679</v>
      </c>
      <c r="L8" s="5">
        <v>971</v>
      </c>
      <c r="M8" s="5">
        <v>716</v>
      </c>
      <c r="N8" s="5">
        <v>1564</v>
      </c>
      <c r="O8" s="7">
        <f t="shared" si="2"/>
        <v>3930</v>
      </c>
      <c r="P8" s="5">
        <v>5985</v>
      </c>
      <c r="Q8" s="5">
        <v>7604.5</v>
      </c>
      <c r="R8" s="5">
        <v>2</v>
      </c>
      <c r="S8" s="5">
        <v>18.5</v>
      </c>
    </row>
    <row r="9" spans="1:19" s="1" customFormat="1">
      <c r="A9" s="4" t="s">
        <v>20</v>
      </c>
      <c r="B9" s="4">
        <v>7</v>
      </c>
      <c r="C9" s="5">
        <v>1362</v>
      </c>
      <c r="D9" s="5">
        <v>3490</v>
      </c>
      <c r="E9" s="7">
        <f t="shared" si="0"/>
        <v>4852</v>
      </c>
      <c r="F9" s="5">
        <v>873</v>
      </c>
      <c r="G9" s="5">
        <v>2322</v>
      </c>
      <c r="H9" s="5">
        <v>148</v>
      </c>
      <c r="I9" s="5">
        <v>436</v>
      </c>
      <c r="J9" s="7">
        <f t="shared" si="1"/>
        <v>3779</v>
      </c>
      <c r="K9" s="5">
        <v>609</v>
      </c>
      <c r="L9" s="5">
        <v>733</v>
      </c>
      <c r="M9" s="5">
        <v>523</v>
      </c>
      <c r="N9" s="5">
        <v>1333</v>
      </c>
      <c r="O9" s="7">
        <f t="shared" si="2"/>
        <v>3198</v>
      </c>
      <c r="P9" s="5">
        <v>5888</v>
      </c>
      <c r="Q9" s="5">
        <v>6431.93</v>
      </c>
      <c r="R9" s="5">
        <v>6</v>
      </c>
      <c r="S9" s="5">
        <v>157.5</v>
      </c>
    </row>
    <row r="10" spans="1:19" s="1" customFormat="1">
      <c r="A10" s="4" t="s">
        <v>20</v>
      </c>
      <c r="B10" s="4">
        <v>8</v>
      </c>
      <c r="C10" s="5">
        <v>1375</v>
      </c>
      <c r="D10" s="5">
        <v>3418</v>
      </c>
      <c r="E10" s="7">
        <f t="shared" si="0"/>
        <v>4793</v>
      </c>
      <c r="F10" s="5">
        <v>885</v>
      </c>
      <c r="G10" s="5">
        <v>2139</v>
      </c>
      <c r="H10" s="5">
        <v>208</v>
      </c>
      <c r="I10" s="5">
        <v>491</v>
      </c>
      <c r="J10" s="7">
        <f t="shared" si="1"/>
        <v>3723</v>
      </c>
      <c r="K10" s="5">
        <v>582</v>
      </c>
      <c r="L10" s="5">
        <v>635</v>
      </c>
      <c r="M10" s="5">
        <v>424</v>
      </c>
      <c r="N10" s="5">
        <v>1299</v>
      </c>
      <c r="O10" s="7">
        <f t="shared" si="2"/>
        <v>2940</v>
      </c>
      <c r="P10" s="5">
        <v>7930</v>
      </c>
      <c r="Q10" s="5">
        <v>7703.92</v>
      </c>
      <c r="R10" s="5">
        <v>3</v>
      </c>
      <c r="S10" s="5">
        <v>13</v>
      </c>
    </row>
    <row r="11" spans="1:19" s="1" customFormat="1">
      <c r="A11" s="4" t="s">
        <v>20</v>
      </c>
      <c r="B11" s="4">
        <v>9</v>
      </c>
      <c r="C11" s="5">
        <v>1329</v>
      </c>
      <c r="D11" s="5">
        <v>3243</v>
      </c>
      <c r="E11" s="7">
        <f t="shared" si="0"/>
        <v>4572</v>
      </c>
      <c r="F11" s="5">
        <v>875</v>
      </c>
      <c r="G11" s="5">
        <v>2180</v>
      </c>
      <c r="H11" s="5">
        <v>189</v>
      </c>
      <c r="I11" s="5">
        <v>471</v>
      </c>
      <c r="J11" s="7">
        <f t="shared" si="1"/>
        <v>3715</v>
      </c>
      <c r="K11" s="5">
        <v>560</v>
      </c>
      <c r="L11" s="5">
        <v>788</v>
      </c>
      <c r="M11" s="5">
        <v>542</v>
      </c>
      <c r="N11" s="5">
        <v>1280</v>
      </c>
      <c r="O11" s="7">
        <f t="shared" si="2"/>
        <v>3170</v>
      </c>
      <c r="P11" s="5">
        <v>5487</v>
      </c>
      <c r="Q11" s="5">
        <v>6578</v>
      </c>
      <c r="R11" s="5">
        <v>2</v>
      </c>
      <c r="S11" s="5">
        <v>21</v>
      </c>
    </row>
    <row r="12" spans="1:19" s="1" customFormat="1">
      <c r="A12" s="4" t="s">
        <v>20</v>
      </c>
      <c r="B12" s="4">
        <v>10</v>
      </c>
      <c r="C12" s="5">
        <v>1324</v>
      </c>
      <c r="D12" s="5">
        <v>3220</v>
      </c>
      <c r="E12" s="7">
        <f t="shared" si="0"/>
        <v>4544</v>
      </c>
      <c r="F12" s="5">
        <v>776</v>
      </c>
      <c r="G12" s="5">
        <v>1918</v>
      </c>
      <c r="H12" s="5">
        <v>138</v>
      </c>
      <c r="I12" s="5">
        <v>460</v>
      </c>
      <c r="J12" s="7">
        <f t="shared" si="1"/>
        <v>3292</v>
      </c>
      <c r="K12" s="5">
        <v>496</v>
      </c>
      <c r="L12" s="5">
        <v>627</v>
      </c>
      <c r="M12" s="5">
        <v>463</v>
      </c>
      <c r="N12" s="5">
        <v>1001</v>
      </c>
      <c r="O12" s="7">
        <f t="shared" si="2"/>
        <v>2587</v>
      </c>
      <c r="P12" s="5">
        <v>4549</v>
      </c>
      <c r="Q12" s="5">
        <v>6417</v>
      </c>
      <c r="R12" s="5">
        <v>0</v>
      </c>
      <c r="S12" s="5">
        <v>53.42</v>
      </c>
    </row>
    <row r="13" spans="1:19" s="1" customFormat="1">
      <c r="A13" s="4" t="s">
        <v>20</v>
      </c>
      <c r="B13" s="4">
        <v>11</v>
      </c>
      <c r="C13" s="5">
        <v>1322</v>
      </c>
      <c r="D13" s="5">
        <v>3543</v>
      </c>
      <c r="E13" s="7">
        <f t="shared" si="0"/>
        <v>4865</v>
      </c>
      <c r="F13" s="5">
        <v>851</v>
      </c>
      <c r="G13" s="5">
        <v>2382</v>
      </c>
      <c r="H13" s="5">
        <v>179</v>
      </c>
      <c r="I13" s="5">
        <v>528</v>
      </c>
      <c r="J13" s="7">
        <f t="shared" si="1"/>
        <v>3940</v>
      </c>
      <c r="K13" s="5">
        <v>573</v>
      </c>
      <c r="L13" s="5">
        <v>744</v>
      </c>
      <c r="M13" s="5">
        <v>588</v>
      </c>
      <c r="N13" s="5">
        <v>1328</v>
      </c>
      <c r="O13" s="7">
        <f t="shared" si="2"/>
        <v>3233</v>
      </c>
      <c r="P13" s="5">
        <v>8286</v>
      </c>
      <c r="Q13" s="5">
        <v>10478.57</v>
      </c>
      <c r="R13" s="5">
        <v>77</v>
      </c>
      <c r="S13" s="5">
        <v>4</v>
      </c>
    </row>
    <row r="14" spans="1:19" s="1" customFormat="1">
      <c r="A14" s="4" t="s">
        <v>20</v>
      </c>
      <c r="B14" s="4">
        <v>12</v>
      </c>
      <c r="C14" s="5">
        <v>1860</v>
      </c>
      <c r="D14" s="5">
        <v>4602</v>
      </c>
      <c r="E14" s="7">
        <f t="shared" si="0"/>
        <v>6462</v>
      </c>
      <c r="F14" s="5">
        <v>1457</v>
      </c>
      <c r="G14" s="5">
        <v>3572</v>
      </c>
      <c r="H14" s="5">
        <v>300</v>
      </c>
      <c r="I14" s="5">
        <v>841</v>
      </c>
      <c r="J14" s="7">
        <f t="shared" si="1"/>
        <v>6170</v>
      </c>
      <c r="K14" s="5">
        <v>958</v>
      </c>
      <c r="L14" s="5">
        <v>1199</v>
      </c>
      <c r="M14" s="5">
        <v>891</v>
      </c>
      <c r="N14" s="5">
        <v>1928</v>
      </c>
      <c r="O14" s="7">
        <f t="shared" si="2"/>
        <v>4976</v>
      </c>
      <c r="P14" s="5">
        <v>7896</v>
      </c>
      <c r="Q14" s="5">
        <v>10072.220000000001</v>
      </c>
      <c r="R14" s="5">
        <v>14</v>
      </c>
      <c r="S14" s="5">
        <v>2</v>
      </c>
    </row>
    <row r="15" spans="1:19" s="1" customFormat="1">
      <c r="A15" s="4" t="s">
        <v>21</v>
      </c>
      <c r="B15" s="4">
        <v>1</v>
      </c>
      <c r="C15" s="5">
        <v>830</v>
      </c>
      <c r="D15" s="5">
        <v>2318</v>
      </c>
      <c r="E15" s="7">
        <f t="shared" si="0"/>
        <v>3148</v>
      </c>
      <c r="F15" s="5">
        <v>441</v>
      </c>
      <c r="G15" s="5">
        <v>1073</v>
      </c>
      <c r="H15" s="5">
        <v>101</v>
      </c>
      <c r="I15" s="5">
        <v>327</v>
      </c>
      <c r="J15" s="7">
        <f t="shared" si="1"/>
        <v>1942</v>
      </c>
      <c r="K15" s="5">
        <v>300</v>
      </c>
      <c r="L15" s="5">
        <v>385</v>
      </c>
      <c r="M15" s="5">
        <v>279</v>
      </c>
      <c r="N15" s="5">
        <v>550</v>
      </c>
      <c r="O15" s="7">
        <f t="shared" si="2"/>
        <v>1514</v>
      </c>
      <c r="P15" s="5">
        <v>1466</v>
      </c>
      <c r="Q15" s="5">
        <v>3904.35</v>
      </c>
      <c r="R15" s="5">
        <v>0</v>
      </c>
      <c r="S15" s="5">
        <v>1</v>
      </c>
    </row>
    <row r="16" spans="1:19" s="1" customFormat="1">
      <c r="A16" s="4" t="s">
        <v>21</v>
      </c>
      <c r="B16" s="4">
        <v>2</v>
      </c>
      <c r="C16" s="5">
        <v>953</v>
      </c>
      <c r="D16" s="5">
        <v>1835</v>
      </c>
      <c r="E16" s="7">
        <f t="shared" si="0"/>
        <v>2788</v>
      </c>
      <c r="F16" s="5">
        <v>243</v>
      </c>
      <c r="G16" s="5">
        <v>420</v>
      </c>
      <c r="H16" s="5">
        <v>64</v>
      </c>
      <c r="I16" s="5">
        <v>163</v>
      </c>
      <c r="J16" s="7">
        <f t="shared" si="1"/>
        <v>890</v>
      </c>
      <c r="K16" s="5">
        <v>174</v>
      </c>
      <c r="L16" s="5">
        <v>180</v>
      </c>
      <c r="M16" s="5">
        <v>132</v>
      </c>
      <c r="N16" s="5">
        <v>177</v>
      </c>
      <c r="O16" s="7">
        <f t="shared" si="2"/>
        <v>663</v>
      </c>
      <c r="P16" s="5">
        <v>2603</v>
      </c>
      <c r="Q16" s="5">
        <v>3940.85</v>
      </c>
      <c r="R16" s="5">
        <v>14</v>
      </c>
      <c r="S16" s="5">
        <v>101</v>
      </c>
    </row>
    <row r="17" spans="1:19" s="1" customFormat="1">
      <c r="A17" s="4" t="s">
        <v>21</v>
      </c>
      <c r="B17" s="4">
        <v>3</v>
      </c>
      <c r="C17" s="5">
        <v>957</v>
      </c>
      <c r="D17" s="5">
        <v>2345</v>
      </c>
      <c r="E17" s="7">
        <f t="shared" si="0"/>
        <v>3302</v>
      </c>
      <c r="F17" s="5">
        <v>639</v>
      </c>
      <c r="G17" s="5">
        <v>1538</v>
      </c>
      <c r="H17" s="5">
        <v>206</v>
      </c>
      <c r="I17" s="5">
        <v>513</v>
      </c>
      <c r="J17" s="7">
        <f t="shared" si="1"/>
        <v>2896</v>
      </c>
      <c r="K17" s="5">
        <v>422</v>
      </c>
      <c r="L17" s="5">
        <v>564</v>
      </c>
      <c r="M17" s="5">
        <v>337</v>
      </c>
      <c r="N17" s="5">
        <v>879</v>
      </c>
      <c r="O17" s="7">
        <f t="shared" si="2"/>
        <v>2202</v>
      </c>
      <c r="P17" s="5">
        <v>4028</v>
      </c>
      <c r="Q17" s="5">
        <v>3731.1</v>
      </c>
      <c r="R17" s="5">
        <v>1</v>
      </c>
      <c r="S17" s="5">
        <v>1</v>
      </c>
    </row>
    <row r="18" spans="1:19" s="1" customFormat="1">
      <c r="A18" s="4" t="s">
        <v>21</v>
      </c>
      <c r="B18" s="4">
        <v>4</v>
      </c>
      <c r="C18" s="5">
        <v>846</v>
      </c>
      <c r="D18" s="5">
        <v>2184</v>
      </c>
      <c r="E18" s="7">
        <f t="shared" si="0"/>
        <v>3030</v>
      </c>
      <c r="F18" s="5">
        <v>500</v>
      </c>
      <c r="G18" s="5">
        <v>1169</v>
      </c>
      <c r="H18" s="5">
        <v>160</v>
      </c>
      <c r="I18" s="5">
        <v>472</v>
      </c>
      <c r="J18" s="7">
        <f t="shared" si="1"/>
        <v>2301</v>
      </c>
      <c r="K18" s="5">
        <v>364</v>
      </c>
      <c r="L18" s="5">
        <v>405</v>
      </c>
      <c r="M18" s="5">
        <v>248</v>
      </c>
      <c r="N18" s="5">
        <v>652</v>
      </c>
      <c r="O18" s="7">
        <f t="shared" si="2"/>
        <v>1669</v>
      </c>
      <c r="P18" s="5">
        <v>3476</v>
      </c>
      <c r="Q18" s="5">
        <v>3685.25</v>
      </c>
      <c r="R18" s="5">
        <v>0</v>
      </c>
      <c r="S18" s="5">
        <v>0</v>
      </c>
    </row>
    <row r="19" spans="1:19" s="1" customFormat="1">
      <c r="A19" s="4" t="s">
        <v>21</v>
      </c>
      <c r="B19" s="4">
        <v>5</v>
      </c>
      <c r="C19" s="5">
        <v>897</v>
      </c>
      <c r="D19" s="5">
        <v>2478</v>
      </c>
      <c r="E19" s="7">
        <f t="shared" si="0"/>
        <v>3375</v>
      </c>
      <c r="F19" s="5">
        <v>548</v>
      </c>
      <c r="G19" s="5">
        <v>1390</v>
      </c>
      <c r="H19" s="5">
        <v>168</v>
      </c>
      <c r="I19" s="5">
        <v>506</v>
      </c>
      <c r="J19" s="7">
        <f t="shared" si="1"/>
        <v>2612</v>
      </c>
      <c r="K19" s="5">
        <v>383</v>
      </c>
      <c r="L19" s="5">
        <v>526</v>
      </c>
      <c r="M19" s="5">
        <v>282</v>
      </c>
      <c r="N19" s="5">
        <v>747</v>
      </c>
      <c r="O19" s="7">
        <f t="shared" si="2"/>
        <v>1938</v>
      </c>
      <c r="P19" s="5">
        <v>3690</v>
      </c>
      <c r="Q19" s="5">
        <v>3031.4500000000003</v>
      </c>
      <c r="R19" s="5">
        <v>0</v>
      </c>
      <c r="S19" s="5">
        <v>52</v>
      </c>
    </row>
    <row r="20" spans="1:19" s="1" customFormat="1">
      <c r="A20" s="4" t="s">
        <v>21</v>
      </c>
      <c r="B20" s="4">
        <v>6</v>
      </c>
      <c r="C20" s="5">
        <v>983</v>
      </c>
      <c r="D20" s="5">
        <v>2558</v>
      </c>
      <c r="E20" s="7">
        <f t="shared" si="0"/>
        <v>3541</v>
      </c>
      <c r="F20" s="5">
        <v>607</v>
      </c>
      <c r="G20" s="5">
        <v>1607</v>
      </c>
      <c r="H20" s="5">
        <v>188</v>
      </c>
      <c r="I20" s="5">
        <v>456</v>
      </c>
      <c r="J20" s="7">
        <f t="shared" si="1"/>
        <v>2858</v>
      </c>
      <c r="K20" s="5">
        <v>353</v>
      </c>
      <c r="L20" s="5">
        <v>645</v>
      </c>
      <c r="M20" s="5">
        <v>270</v>
      </c>
      <c r="N20" s="5">
        <v>935</v>
      </c>
      <c r="O20" s="7">
        <f t="shared" si="2"/>
        <v>2203</v>
      </c>
      <c r="P20" s="5">
        <v>3304</v>
      </c>
      <c r="Q20" s="5">
        <v>3513.3</v>
      </c>
      <c r="R20" s="5">
        <v>2</v>
      </c>
      <c r="S20" s="5">
        <v>0</v>
      </c>
    </row>
    <row r="21" spans="1:19" s="1" customFormat="1">
      <c r="A21" s="4" t="s">
        <v>21</v>
      </c>
      <c r="B21" s="4">
        <v>7</v>
      </c>
      <c r="C21" s="5">
        <v>956</v>
      </c>
      <c r="D21" s="5">
        <v>2890</v>
      </c>
      <c r="E21" s="7">
        <f t="shared" si="0"/>
        <v>3846</v>
      </c>
      <c r="F21" s="5">
        <v>646</v>
      </c>
      <c r="G21" s="5">
        <v>1856</v>
      </c>
      <c r="H21" s="5">
        <v>179</v>
      </c>
      <c r="I21" s="5">
        <v>585</v>
      </c>
      <c r="J21" s="7">
        <f t="shared" si="1"/>
        <v>3266</v>
      </c>
      <c r="K21" s="5">
        <v>430</v>
      </c>
      <c r="L21" s="5">
        <v>643</v>
      </c>
      <c r="M21" s="5">
        <v>415</v>
      </c>
      <c r="N21" s="5">
        <v>1005</v>
      </c>
      <c r="O21" s="7">
        <f t="shared" si="2"/>
        <v>2493</v>
      </c>
      <c r="P21" s="5">
        <v>3063</v>
      </c>
      <c r="Q21" s="5">
        <v>3279.15</v>
      </c>
      <c r="R21" s="5">
        <v>0</v>
      </c>
      <c r="S21" s="5">
        <v>2</v>
      </c>
    </row>
    <row r="22" spans="1:19" s="1" customFormat="1">
      <c r="A22" s="4" t="s">
        <v>21</v>
      </c>
      <c r="B22" s="4">
        <v>8</v>
      </c>
      <c r="C22" s="5">
        <v>876</v>
      </c>
      <c r="D22" s="5">
        <v>2547</v>
      </c>
      <c r="E22" s="7">
        <f t="shared" si="0"/>
        <v>3423</v>
      </c>
      <c r="F22" s="5">
        <v>543</v>
      </c>
      <c r="G22" s="5">
        <v>1281</v>
      </c>
      <c r="H22" s="5">
        <v>110</v>
      </c>
      <c r="I22" s="5">
        <v>445</v>
      </c>
      <c r="J22" s="7">
        <f t="shared" si="1"/>
        <v>2379</v>
      </c>
      <c r="K22" s="5">
        <v>363</v>
      </c>
      <c r="L22" s="5">
        <v>457</v>
      </c>
      <c r="M22" s="5">
        <v>316</v>
      </c>
      <c r="N22" s="5">
        <v>687</v>
      </c>
      <c r="O22" s="7">
        <f t="shared" si="2"/>
        <v>1823</v>
      </c>
      <c r="P22" s="5">
        <v>3833</v>
      </c>
      <c r="Q22" s="5">
        <v>3576.45</v>
      </c>
      <c r="R22" s="5">
        <v>0</v>
      </c>
      <c r="S22" s="5">
        <v>0.25</v>
      </c>
    </row>
    <row r="23" spans="1:19" s="1" customFormat="1">
      <c r="A23" s="4" t="s">
        <v>21</v>
      </c>
      <c r="B23" s="4">
        <v>9</v>
      </c>
      <c r="C23" s="5">
        <v>922</v>
      </c>
      <c r="D23" s="5">
        <v>2978</v>
      </c>
      <c r="E23" s="7">
        <f t="shared" si="0"/>
        <v>3900</v>
      </c>
      <c r="F23" s="5">
        <v>643</v>
      </c>
      <c r="G23" s="5">
        <v>1790</v>
      </c>
      <c r="H23" s="5">
        <v>154</v>
      </c>
      <c r="I23" s="5">
        <v>584</v>
      </c>
      <c r="J23" s="7">
        <f t="shared" si="1"/>
        <v>3171</v>
      </c>
      <c r="K23" s="5">
        <v>442</v>
      </c>
      <c r="L23" s="5">
        <v>557</v>
      </c>
      <c r="M23" s="5">
        <v>452</v>
      </c>
      <c r="N23" s="5">
        <v>981</v>
      </c>
      <c r="O23" s="7">
        <f t="shared" si="2"/>
        <v>2432</v>
      </c>
      <c r="P23" s="5">
        <v>2985</v>
      </c>
      <c r="Q23" s="5">
        <v>3215.55</v>
      </c>
      <c r="R23" s="5">
        <v>0</v>
      </c>
      <c r="S23" s="5">
        <v>0</v>
      </c>
    </row>
    <row r="24" spans="1:19" s="1" customFormat="1">
      <c r="A24" s="4" t="s">
        <v>21</v>
      </c>
      <c r="B24" s="4">
        <v>10</v>
      </c>
      <c r="C24" s="5">
        <v>975</v>
      </c>
      <c r="D24" s="5">
        <v>2558</v>
      </c>
      <c r="E24" s="7">
        <f t="shared" si="0"/>
        <v>3533</v>
      </c>
      <c r="F24" s="5">
        <v>485</v>
      </c>
      <c r="G24" s="5">
        <v>1263</v>
      </c>
      <c r="H24" s="5">
        <v>125</v>
      </c>
      <c r="I24" s="5">
        <v>410</v>
      </c>
      <c r="J24" s="7">
        <f t="shared" si="1"/>
        <v>2283</v>
      </c>
      <c r="K24" s="5">
        <v>336</v>
      </c>
      <c r="L24" s="5">
        <v>396</v>
      </c>
      <c r="M24" s="5">
        <v>288</v>
      </c>
      <c r="N24" s="5">
        <v>693</v>
      </c>
      <c r="O24" s="7">
        <f t="shared" si="2"/>
        <v>1713</v>
      </c>
      <c r="P24" s="5">
        <v>3017</v>
      </c>
      <c r="Q24" s="5">
        <v>3094.5</v>
      </c>
      <c r="R24" s="5">
        <v>0</v>
      </c>
      <c r="S24" s="5">
        <v>1</v>
      </c>
    </row>
    <row r="25" spans="1:19" s="1" customFormat="1">
      <c r="A25" s="4" t="s">
        <v>21</v>
      </c>
      <c r="B25" s="4">
        <v>11</v>
      </c>
      <c r="C25" s="5">
        <v>1050</v>
      </c>
      <c r="D25" s="5">
        <v>2673</v>
      </c>
      <c r="E25" s="7">
        <f t="shared" si="0"/>
        <v>3723</v>
      </c>
      <c r="F25" s="5">
        <v>460</v>
      </c>
      <c r="G25" s="5">
        <v>1369</v>
      </c>
      <c r="H25" s="5">
        <v>138</v>
      </c>
      <c r="I25" s="5">
        <v>450</v>
      </c>
      <c r="J25" s="7">
        <f t="shared" si="1"/>
        <v>2417</v>
      </c>
      <c r="K25" s="5">
        <v>305</v>
      </c>
      <c r="L25" s="5">
        <v>445</v>
      </c>
      <c r="M25" s="5">
        <v>299</v>
      </c>
      <c r="N25" s="5">
        <v>780</v>
      </c>
      <c r="O25" s="7">
        <f t="shared" si="2"/>
        <v>1829</v>
      </c>
      <c r="P25" s="5">
        <v>5131</v>
      </c>
      <c r="Q25" s="5">
        <v>4655.7299999999996</v>
      </c>
      <c r="R25" s="5">
        <v>0</v>
      </c>
      <c r="S25" s="5">
        <v>0</v>
      </c>
    </row>
    <row r="26" spans="1:19" s="1" customFormat="1">
      <c r="A26" s="4" t="s">
        <v>21</v>
      </c>
      <c r="B26" s="4">
        <v>12</v>
      </c>
      <c r="C26" s="5">
        <v>1051</v>
      </c>
      <c r="D26" s="5">
        <v>3409</v>
      </c>
      <c r="E26" s="7">
        <f t="shared" si="0"/>
        <v>4460</v>
      </c>
      <c r="F26" s="5">
        <v>761</v>
      </c>
      <c r="G26" s="5">
        <v>2449</v>
      </c>
      <c r="H26" s="5">
        <v>223</v>
      </c>
      <c r="I26" s="5">
        <v>826</v>
      </c>
      <c r="J26" s="7">
        <f t="shared" si="1"/>
        <v>4259</v>
      </c>
      <c r="K26" s="5">
        <v>521</v>
      </c>
      <c r="L26" s="5">
        <v>694</v>
      </c>
      <c r="M26" s="5">
        <v>523</v>
      </c>
      <c r="N26" s="5">
        <v>1469</v>
      </c>
      <c r="O26" s="7">
        <f t="shared" si="2"/>
        <v>3207</v>
      </c>
      <c r="P26" s="5">
        <v>4804</v>
      </c>
      <c r="Q26" s="5">
        <v>4524.05</v>
      </c>
      <c r="R26" s="5">
        <v>0</v>
      </c>
      <c r="S26" s="5">
        <v>0</v>
      </c>
    </row>
    <row r="27" spans="1:19" s="1" customFormat="1">
      <c r="A27" s="4" t="s">
        <v>22</v>
      </c>
      <c r="B27" s="4">
        <v>1</v>
      </c>
      <c r="C27" s="5">
        <v>1094</v>
      </c>
      <c r="D27" s="5">
        <v>2643</v>
      </c>
      <c r="E27" s="7">
        <f t="shared" si="0"/>
        <v>3737</v>
      </c>
      <c r="F27" s="5">
        <v>708</v>
      </c>
      <c r="G27" s="5">
        <v>1764</v>
      </c>
      <c r="H27" s="5">
        <v>206</v>
      </c>
      <c r="I27" s="5">
        <v>458</v>
      </c>
      <c r="J27" s="7">
        <f t="shared" si="1"/>
        <v>3136</v>
      </c>
      <c r="K27" s="5">
        <v>500</v>
      </c>
      <c r="L27" s="5">
        <v>571</v>
      </c>
      <c r="M27" s="5">
        <v>367</v>
      </c>
      <c r="N27" s="5">
        <v>1034</v>
      </c>
      <c r="O27" s="7">
        <f t="shared" si="2"/>
        <v>2472</v>
      </c>
      <c r="P27" s="5">
        <v>3155</v>
      </c>
      <c r="Q27" s="5">
        <v>5002.5</v>
      </c>
      <c r="R27" s="5">
        <v>1</v>
      </c>
      <c r="S27" s="5">
        <v>0.55000000000000004</v>
      </c>
    </row>
    <row r="28" spans="1:19" s="1" customFormat="1">
      <c r="A28" s="4" t="s">
        <v>22</v>
      </c>
      <c r="B28" s="4">
        <v>2</v>
      </c>
      <c r="C28" s="5">
        <v>1041</v>
      </c>
      <c r="D28" s="5">
        <v>2426</v>
      </c>
      <c r="E28" s="7">
        <f t="shared" si="0"/>
        <v>3467</v>
      </c>
      <c r="F28" s="5">
        <v>641</v>
      </c>
      <c r="G28" s="5">
        <v>1366</v>
      </c>
      <c r="H28" s="5">
        <v>188</v>
      </c>
      <c r="I28" s="5">
        <v>368</v>
      </c>
      <c r="J28" s="7">
        <f t="shared" si="1"/>
        <v>2563</v>
      </c>
      <c r="K28" s="5">
        <v>507</v>
      </c>
      <c r="L28" s="5">
        <v>430</v>
      </c>
      <c r="M28" s="5">
        <v>276</v>
      </c>
      <c r="N28" s="5">
        <v>794</v>
      </c>
      <c r="O28" s="7">
        <f t="shared" si="2"/>
        <v>2007</v>
      </c>
      <c r="P28" s="5">
        <v>2909</v>
      </c>
      <c r="Q28" s="5">
        <v>4449.5</v>
      </c>
      <c r="R28" s="5">
        <v>13</v>
      </c>
      <c r="S28" s="5">
        <v>81.25</v>
      </c>
    </row>
    <row r="29" spans="1:19" s="1" customFormat="1">
      <c r="A29" s="4" t="s">
        <v>22</v>
      </c>
      <c r="B29" s="4">
        <v>3</v>
      </c>
      <c r="C29" s="5">
        <v>1044</v>
      </c>
      <c r="D29" s="5">
        <v>2558</v>
      </c>
      <c r="E29" s="7">
        <f t="shared" si="0"/>
        <v>3602</v>
      </c>
      <c r="F29" s="5">
        <v>722</v>
      </c>
      <c r="G29" s="5">
        <v>1710</v>
      </c>
      <c r="H29" s="5">
        <v>230</v>
      </c>
      <c r="I29" s="5">
        <v>480</v>
      </c>
      <c r="J29" s="7">
        <f t="shared" si="1"/>
        <v>3142</v>
      </c>
      <c r="K29" s="5">
        <v>508</v>
      </c>
      <c r="L29" s="5">
        <v>558</v>
      </c>
      <c r="M29" s="5">
        <v>294</v>
      </c>
      <c r="N29" s="5">
        <v>1072</v>
      </c>
      <c r="O29" s="7">
        <f t="shared" si="2"/>
        <v>2432</v>
      </c>
      <c r="P29" s="5">
        <v>4854</v>
      </c>
      <c r="Q29" s="5">
        <v>6072</v>
      </c>
      <c r="R29" s="5">
        <v>2</v>
      </c>
      <c r="S29" s="5">
        <v>11</v>
      </c>
    </row>
    <row r="30" spans="1:19" s="1" customFormat="1">
      <c r="A30" s="4" t="s">
        <v>22</v>
      </c>
      <c r="B30" s="4">
        <v>4</v>
      </c>
      <c r="C30" s="5">
        <v>1125</v>
      </c>
      <c r="D30" s="5">
        <v>3019</v>
      </c>
      <c r="E30" s="7">
        <f t="shared" si="0"/>
        <v>4144</v>
      </c>
      <c r="F30" s="5">
        <v>765</v>
      </c>
      <c r="G30" s="5">
        <v>2019</v>
      </c>
      <c r="H30" s="5">
        <v>264</v>
      </c>
      <c r="I30" s="5">
        <v>718</v>
      </c>
      <c r="J30" s="7">
        <f t="shared" si="1"/>
        <v>3766</v>
      </c>
      <c r="K30" s="5">
        <v>550</v>
      </c>
      <c r="L30" s="5">
        <v>602</v>
      </c>
      <c r="M30" s="5">
        <v>360</v>
      </c>
      <c r="N30" s="5">
        <v>1272</v>
      </c>
      <c r="O30" s="7">
        <f t="shared" si="2"/>
        <v>2784</v>
      </c>
      <c r="P30" s="5">
        <v>4855</v>
      </c>
      <c r="Q30" s="5">
        <v>6580.5</v>
      </c>
      <c r="R30" s="5">
        <v>0</v>
      </c>
      <c r="S30" s="5">
        <v>0.3</v>
      </c>
    </row>
    <row r="31" spans="1:19" s="1" customFormat="1">
      <c r="A31" s="4" t="s">
        <v>22</v>
      </c>
      <c r="B31" s="4">
        <v>5</v>
      </c>
      <c r="C31" s="5">
        <v>1061</v>
      </c>
      <c r="D31" s="5">
        <v>3223</v>
      </c>
      <c r="E31" s="7">
        <f t="shared" si="0"/>
        <v>4284</v>
      </c>
      <c r="F31" s="5">
        <v>685</v>
      </c>
      <c r="G31" s="5">
        <v>2172</v>
      </c>
      <c r="H31" s="5">
        <v>257</v>
      </c>
      <c r="I31" s="5">
        <v>674</v>
      </c>
      <c r="J31" s="7">
        <f t="shared" si="1"/>
        <v>3788</v>
      </c>
      <c r="K31" s="5">
        <v>425</v>
      </c>
      <c r="L31" s="5">
        <v>629</v>
      </c>
      <c r="M31" s="5">
        <v>465</v>
      </c>
      <c r="N31" s="5">
        <v>1338</v>
      </c>
      <c r="O31" s="7">
        <f t="shared" si="2"/>
        <v>2857</v>
      </c>
      <c r="P31" s="5">
        <v>4617</v>
      </c>
      <c r="Q31" s="5">
        <v>6773.5</v>
      </c>
      <c r="R31" s="5">
        <v>0</v>
      </c>
      <c r="S31" s="5">
        <v>0</v>
      </c>
    </row>
    <row r="32" spans="1:19" s="1" customFormat="1">
      <c r="A32" s="4" t="s">
        <v>22</v>
      </c>
      <c r="B32" s="4">
        <v>6</v>
      </c>
      <c r="C32" s="5">
        <v>1318</v>
      </c>
      <c r="D32" s="5">
        <v>3894</v>
      </c>
      <c r="E32" s="7">
        <f t="shared" si="0"/>
        <v>5212</v>
      </c>
      <c r="F32" s="5">
        <v>912</v>
      </c>
      <c r="G32" s="5">
        <v>2888</v>
      </c>
      <c r="H32" s="5">
        <v>336</v>
      </c>
      <c r="I32" s="5">
        <v>731</v>
      </c>
      <c r="J32" s="7">
        <f t="shared" si="1"/>
        <v>4867</v>
      </c>
      <c r="K32" s="5">
        <v>561</v>
      </c>
      <c r="L32" s="5">
        <v>895</v>
      </c>
      <c r="M32" s="5">
        <v>599</v>
      </c>
      <c r="N32" s="5">
        <v>1745</v>
      </c>
      <c r="O32" s="7">
        <f t="shared" si="2"/>
        <v>3800</v>
      </c>
      <c r="P32" s="5">
        <v>4201</v>
      </c>
      <c r="Q32" s="5">
        <v>6418.75</v>
      </c>
      <c r="R32" s="5">
        <v>3</v>
      </c>
      <c r="S32" s="5">
        <v>43.5</v>
      </c>
    </row>
    <row r="33" spans="1:19" s="1" customFormat="1">
      <c r="A33" s="4" t="s">
        <v>22</v>
      </c>
      <c r="B33" s="4">
        <v>7</v>
      </c>
      <c r="C33" s="5">
        <v>1052</v>
      </c>
      <c r="D33" s="5">
        <v>3042</v>
      </c>
      <c r="E33" s="7">
        <f t="shared" si="0"/>
        <v>4094</v>
      </c>
      <c r="F33" s="5">
        <v>715</v>
      </c>
      <c r="G33" s="5">
        <v>2207</v>
      </c>
      <c r="H33" s="5">
        <v>230</v>
      </c>
      <c r="I33" s="5">
        <v>514</v>
      </c>
      <c r="J33" s="7">
        <f t="shared" si="1"/>
        <v>3666</v>
      </c>
      <c r="K33" s="5">
        <v>494</v>
      </c>
      <c r="L33" s="5">
        <v>633</v>
      </c>
      <c r="M33" s="5">
        <v>467</v>
      </c>
      <c r="N33" s="5">
        <v>1328</v>
      </c>
      <c r="O33" s="7">
        <f t="shared" si="2"/>
        <v>2922</v>
      </c>
      <c r="P33" s="5">
        <v>3861</v>
      </c>
      <c r="Q33" s="5">
        <v>6491.5</v>
      </c>
      <c r="R33" s="5">
        <v>211</v>
      </c>
      <c r="S33" s="5">
        <v>162</v>
      </c>
    </row>
    <row r="34" spans="1:19" s="1" customFormat="1">
      <c r="A34" s="4" t="s">
        <v>22</v>
      </c>
      <c r="B34" s="4">
        <v>8</v>
      </c>
      <c r="C34" s="5">
        <v>1074</v>
      </c>
      <c r="D34" s="5">
        <v>3411</v>
      </c>
      <c r="E34" s="7">
        <f t="shared" si="0"/>
        <v>4485</v>
      </c>
      <c r="F34" s="5">
        <v>723</v>
      </c>
      <c r="G34" s="5">
        <v>2329</v>
      </c>
      <c r="H34" s="5">
        <v>215</v>
      </c>
      <c r="I34" s="5">
        <v>767</v>
      </c>
      <c r="J34" s="7">
        <f t="shared" si="1"/>
        <v>4034</v>
      </c>
      <c r="K34" s="5">
        <v>445</v>
      </c>
      <c r="L34" s="5">
        <v>647</v>
      </c>
      <c r="M34" s="5">
        <v>535</v>
      </c>
      <c r="N34" s="5">
        <v>1425</v>
      </c>
      <c r="O34" s="7">
        <f t="shared" si="2"/>
        <v>3052</v>
      </c>
      <c r="P34" s="5">
        <v>4176</v>
      </c>
      <c r="Q34" s="5">
        <v>5623.55</v>
      </c>
      <c r="R34" s="5">
        <v>160</v>
      </c>
      <c r="S34" s="5">
        <v>705.5</v>
      </c>
    </row>
    <row r="35" spans="1:19" s="1" customFormat="1">
      <c r="A35" s="4" t="s">
        <v>22</v>
      </c>
      <c r="B35" s="4">
        <v>9</v>
      </c>
      <c r="C35" s="5">
        <v>940</v>
      </c>
      <c r="D35" s="5">
        <v>2979</v>
      </c>
      <c r="E35" s="7">
        <f t="shared" si="0"/>
        <v>3919</v>
      </c>
      <c r="F35" s="5">
        <v>590</v>
      </c>
      <c r="G35" s="5">
        <v>1805</v>
      </c>
      <c r="H35" s="5">
        <v>231</v>
      </c>
      <c r="I35" s="5">
        <v>713</v>
      </c>
      <c r="J35" s="7">
        <f t="shared" si="1"/>
        <v>3339</v>
      </c>
      <c r="K35" s="5">
        <v>329</v>
      </c>
      <c r="L35" s="5">
        <v>532</v>
      </c>
      <c r="M35" s="5">
        <v>444</v>
      </c>
      <c r="N35" s="5">
        <v>1089</v>
      </c>
      <c r="O35" s="7">
        <f t="shared" si="2"/>
        <v>2394</v>
      </c>
      <c r="P35" s="5">
        <v>3469</v>
      </c>
      <c r="Q35" s="5">
        <v>5572.35</v>
      </c>
      <c r="R35" s="5">
        <v>0</v>
      </c>
      <c r="S35" s="5">
        <v>38.25</v>
      </c>
    </row>
    <row r="36" spans="1:19" s="1" customFormat="1">
      <c r="A36" s="4" t="s">
        <v>22</v>
      </c>
      <c r="B36" s="4">
        <v>10</v>
      </c>
      <c r="C36" s="5">
        <v>849</v>
      </c>
      <c r="D36" s="5">
        <v>3055</v>
      </c>
      <c r="E36" s="7">
        <f t="shared" si="0"/>
        <v>3904</v>
      </c>
      <c r="F36" s="5">
        <v>474</v>
      </c>
      <c r="G36" s="5">
        <v>1780</v>
      </c>
      <c r="H36" s="5">
        <v>255</v>
      </c>
      <c r="I36" s="5">
        <v>919</v>
      </c>
      <c r="J36" s="7">
        <f t="shared" si="1"/>
        <v>3428</v>
      </c>
      <c r="K36" s="5">
        <v>286</v>
      </c>
      <c r="L36" s="5">
        <v>484</v>
      </c>
      <c r="M36" s="5">
        <v>416</v>
      </c>
      <c r="N36" s="5">
        <v>1071</v>
      </c>
      <c r="O36" s="7">
        <f t="shared" si="2"/>
        <v>2257</v>
      </c>
      <c r="P36" s="5">
        <v>3812</v>
      </c>
      <c r="Q36" s="5">
        <v>6446.25</v>
      </c>
      <c r="R36" s="5">
        <v>1</v>
      </c>
      <c r="S36" s="5">
        <v>0.4</v>
      </c>
    </row>
    <row r="37" spans="1:19" s="1" customFormat="1">
      <c r="A37" s="4" t="s">
        <v>22</v>
      </c>
      <c r="B37" s="4">
        <v>11</v>
      </c>
      <c r="C37" s="5">
        <v>883</v>
      </c>
      <c r="D37" s="5">
        <v>3206</v>
      </c>
      <c r="E37" s="7">
        <f t="shared" si="0"/>
        <v>4089</v>
      </c>
      <c r="F37" s="5">
        <v>488</v>
      </c>
      <c r="G37" s="5">
        <v>1996</v>
      </c>
      <c r="H37" s="5">
        <v>305</v>
      </c>
      <c r="I37" s="5">
        <v>1043</v>
      </c>
      <c r="J37" s="7">
        <f t="shared" si="1"/>
        <v>3832</v>
      </c>
      <c r="K37" s="5">
        <v>257</v>
      </c>
      <c r="L37" s="5">
        <v>543</v>
      </c>
      <c r="M37" s="5">
        <v>433</v>
      </c>
      <c r="N37" s="5">
        <v>1251</v>
      </c>
      <c r="O37" s="7">
        <f t="shared" si="2"/>
        <v>2484</v>
      </c>
      <c r="P37" s="5">
        <v>5979</v>
      </c>
      <c r="Q37" s="5">
        <v>8775.0499999999993</v>
      </c>
      <c r="R37" s="5">
        <v>0</v>
      </c>
      <c r="S37" s="5">
        <v>0</v>
      </c>
    </row>
    <row r="38" spans="1:19" s="1" customFormat="1">
      <c r="A38" s="4" t="s">
        <v>22</v>
      </c>
      <c r="B38" s="4">
        <v>12</v>
      </c>
      <c r="C38" s="5">
        <v>1011</v>
      </c>
      <c r="D38" s="5">
        <v>3732</v>
      </c>
      <c r="E38" s="7">
        <f t="shared" si="0"/>
        <v>4743</v>
      </c>
      <c r="F38" s="5">
        <v>629</v>
      </c>
      <c r="G38" s="5">
        <v>2429</v>
      </c>
      <c r="H38" s="5">
        <v>375</v>
      </c>
      <c r="I38" s="5">
        <v>1270</v>
      </c>
      <c r="J38" s="7">
        <f t="shared" si="1"/>
        <v>4703</v>
      </c>
      <c r="K38" s="5">
        <v>403</v>
      </c>
      <c r="L38" s="5">
        <v>633</v>
      </c>
      <c r="M38" s="5">
        <v>543</v>
      </c>
      <c r="N38" s="5">
        <v>1479</v>
      </c>
      <c r="O38" s="7">
        <f t="shared" si="2"/>
        <v>3058</v>
      </c>
      <c r="P38" s="5">
        <v>6592</v>
      </c>
      <c r="Q38" s="5">
        <v>8916.2999999999993</v>
      </c>
      <c r="R38" s="5">
        <v>0</v>
      </c>
      <c r="S38" s="5">
        <v>0</v>
      </c>
    </row>
    <row r="39" spans="1:19" s="1" customFormat="1">
      <c r="A39" s="4" t="s">
        <v>23</v>
      </c>
      <c r="B39" s="4">
        <v>1</v>
      </c>
      <c r="C39" s="5">
        <v>937</v>
      </c>
      <c r="D39" s="5">
        <v>3205</v>
      </c>
      <c r="E39" s="7">
        <f t="shared" si="0"/>
        <v>4142</v>
      </c>
      <c r="F39" s="5">
        <v>451</v>
      </c>
      <c r="G39" s="5">
        <v>1884</v>
      </c>
      <c r="H39" s="5">
        <v>168</v>
      </c>
      <c r="I39" s="5">
        <v>486</v>
      </c>
      <c r="J39" s="7">
        <f t="shared" si="1"/>
        <v>2989</v>
      </c>
      <c r="K39" s="5">
        <v>308</v>
      </c>
      <c r="L39" s="5">
        <v>475</v>
      </c>
      <c r="M39" s="5">
        <v>410</v>
      </c>
      <c r="N39" s="5">
        <v>1142</v>
      </c>
      <c r="O39" s="7">
        <f t="shared" si="2"/>
        <v>2335</v>
      </c>
      <c r="P39" s="5">
        <v>1679</v>
      </c>
      <c r="Q39" s="5">
        <v>3841.66</v>
      </c>
      <c r="R39" s="5">
        <v>0</v>
      </c>
      <c r="S39" s="5">
        <v>30</v>
      </c>
    </row>
    <row r="40" spans="1:19" s="1" customFormat="1">
      <c r="A40" s="4" t="s">
        <v>23</v>
      </c>
      <c r="B40" s="4">
        <v>2</v>
      </c>
      <c r="C40" s="5">
        <v>757</v>
      </c>
      <c r="D40" s="5">
        <v>2305</v>
      </c>
      <c r="E40" s="7">
        <f t="shared" si="0"/>
        <v>3062</v>
      </c>
      <c r="F40" s="5">
        <v>262</v>
      </c>
      <c r="G40" s="5">
        <v>1027</v>
      </c>
      <c r="H40" s="5">
        <v>114</v>
      </c>
      <c r="I40" s="5">
        <v>236</v>
      </c>
      <c r="J40" s="7">
        <f t="shared" si="1"/>
        <v>1639</v>
      </c>
      <c r="K40" s="5">
        <v>176</v>
      </c>
      <c r="L40" s="5">
        <v>296</v>
      </c>
      <c r="M40" s="5">
        <v>199</v>
      </c>
      <c r="N40" s="5">
        <v>616</v>
      </c>
      <c r="O40" s="7">
        <f t="shared" si="2"/>
        <v>1287</v>
      </c>
      <c r="P40" s="5">
        <v>2298</v>
      </c>
      <c r="Q40" s="5">
        <v>3191.91</v>
      </c>
      <c r="R40" s="5">
        <v>3</v>
      </c>
      <c r="S40" s="5">
        <v>0</v>
      </c>
    </row>
    <row r="41" spans="1:19" s="1" customFormat="1">
      <c r="A41" s="4" t="s">
        <v>23</v>
      </c>
      <c r="B41" s="4">
        <v>3</v>
      </c>
      <c r="C41" s="5">
        <v>837</v>
      </c>
      <c r="D41" s="5">
        <v>2612</v>
      </c>
      <c r="E41" s="7">
        <f t="shared" si="0"/>
        <v>3449</v>
      </c>
      <c r="F41" s="5">
        <v>556</v>
      </c>
      <c r="G41" s="5">
        <v>1804</v>
      </c>
      <c r="H41" s="5">
        <v>181</v>
      </c>
      <c r="I41" s="5">
        <v>498</v>
      </c>
      <c r="J41" s="7">
        <f t="shared" si="1"/>
        <v>3039</v>
      </c>
      <c r="K41" s="5">
        <v>376</v>
      </c>
      <c r="L41" s="5">
        <v>459</v>
      </c>
      <c r="M41" s="5">
        <v>289</v>
      </c>
      <c r="N41" s="5">
        <v>1200</v>
      </c>
      <c r="O41" s="7">
        <f t="shared" si="2"/>
        <v>2324</v>
      </c>
      <c r="P41" s="5">
        <v>3482</v>
      </c>
      <c r="Q41" s="5">
        <v>3969.67</v>
      </c>
      <c r="R41" s="5">
        <v>3</v>
      </c>
      <c r="S41" s="5">
        <v>11</v>
      </c>
    </row>
    <row r="42" spans="1:19" s="1" customFormat="1">
      <c r="A42" s="4" t="s">
        <v>23</v>
      </c>
      <c r="B42" s="4">
        <v>4</v>
      </c>
      <c r="C42" s="5">
        <v>1048</v>
      </c>
      <c r="D42" s="5">
        <v>3107</v>
      </c>
      <c r="E42" s="7">
        <f t="shared" si="0"/>
        <v>4155</v>
      </c>
      <c r="F42" s="5">
        <v>569</v>
      </c>
      <c r="G42" s="5">
        <v>1621</v>
      </c>
      <c r="H42" s="5">
        <v>199</v>
      </c>
      <c r="I42" s="5">
        <v>493</v>
      </c>
      <c r="J42" s="7">
        <f t="shared" si="1"/>
        <v>2882</v>
      </c>
      <c r="K42" s="5">
        <v>419</v>
      </c>
      <c r="L42" s="5">
        <v>382</v>
      </c>
      <c r="M42" s="5">
        <v>274</v>
      </c>
      <c r="N42" s="5">
        <v>1105</v>
      </c>
      <c r="O42" s="7">
        <f t="shared" si="2"/>
        <v>2180</v>
      </c>
      <c r="P42" s="5">
        <v>3350</v>
      </c>
      <c r="Q42" s="5">
        <v>3681.83</v>
      </c>
      <c r="R42" s="5">
        <v>1</v>
      </c>
      <c r="S42" s="5">
        <v>78</v>
      </c>
    </row>
    <row r="43" spans="1:19" s="1" customFormat="1">
      <c r="A43" s="4" t="s">
        <v>23</v>
      </c>
      <c r="B43" s="4">
        <v>5</v>
      </c>
      <c r="C43" s="5">
        <v>938</v>
      </c>
      <c r="D43" s="5">
        <v>3446</v>
      </c>
      <c r="E43" s="7">
        <f t="shared" si="0"/>
        <v>4384</v>
      </c>
      <c r="F43" s="5">
        <v>477</v>
      </c>
      <c r="G43" s="5">
        <v>1919</v>
      </c>
      <c r="H43" s="5">
        <v>181</v>
      </c>
      <c r="I43" s="5">
        <v>604</v>
      </c>
      <c r="J43" s="7">
        <f t="shared" si="1"/>
        <v>3181</v>
      </c>
      <c r="K43" s="5">
        <v>335</v>
      </c>
      <c r="L43" s="5">
        <v>444</v>
      </c>
      <c r="M43" s="5">
        <v>372</v>
      </c>
      <c r="N43" s="5">
        <v>1246</v>
      </c>
      <c r="O43" s="7">
        <f t="shared" si="2"/>
        <v>2397</v>
      </c>
      <c r="P43" s="5">
        <v>3031</v>
      </c>
      <c r="Q43" s="5">
        <v>3734.96</v>
      </c>
      <c r="R43" s="5">
        <v>0</v>
      </c>
      <c r="S43" s="5">
        <v>7</v>
      </c>
    </row>
    <row r="44" spans="1:19" s="1" customFormat="1">
      <c r="A44" s="4" t="s">
        <v>23</v>
      </c>
      <c r="B44" s="4">
        <v>6</v>
      </c>
      <c r="C44" s="5">
        <v>1013</v>
      </c>
      <c r="D44" s="5">
        <v>3642</v>
      </c>
      <c r="E44" s="7">
        <f t="shared" si="0"/>
        <v>4655</v>
      </c>
      <c r="F44" s="5">
        <v>552</v>
      </c>
      <c r="G44" s="5">
        <v>2225</v>
      </c>
      <c r="H44" s="5">
        <v>217</v>
      </c>
      <c r="I44" s="5">
        <v>630</v>
      </c>
      <c r="J44" s="7">
        <f t="shared" si="1"/>
        <v>3624</v>
      </c>
      <c r="K44" s="5">
        <v>386</v>
      </c>
      <c r="L44" s="5">
        <v>549</v>
      </c>
      <c r="M44" s="5">
        <v>413</v>
      </c>
      <c r="N44" s="5">
        <v>1426</v>
      </c>
      <c r="O44" s="7">
        <f t="shared" si="2"/>
        <v>2774</v>
      </c>
      <c r="P44" s="5">
        <v>3393</v>
      </c>
      <c r="Q44" s="5">
        <v>4212</v>
      </c>
      <c r="R44" s="5">
        <v>1</v>
      </c>
      <c r="S44" s="5">
        <v>0</v>
      </c>
    </row>
    <row r="45" spans="1:19" s="1" customFormat="1">
      <c r="A45" s="4" t="s">
        <v>23</v>
      </c>
      <c r="B45" s="4">
        <v>7</v>
      </c>
      <c r="C45" s="5">
        <v>884</v>
      </c>
      <c r="D45" s="5">
        <v>3436</v>
      </c>
      <c r="E45" s="7">
        <f t="shared" si="0"/>
        <v>4320</v>
      </c>
      <c r="F45" s="5">
        <v>586</v>
      </c>
      <c r="G45" s="5">
        <v>2329</v>
      </c>
      <c r="H45" s="5">
        <v>197</v>
      </c>
      <c r="I45" s="5">
        <v>652</v>
      </c>
      <c r="J45" s="7">
        <f t="shared" si="1"/>
        <v>3764</v>
      </c>
      <c r="K45" s="5">
        <v>383</v>
      </c>
      <c r="L45" s="5">
        <v>612</v>
      </c>
      <c r="M45" s="5">
        <v>493</v>
      </c>
      <c r="N45" s="5">
        <v>1492</v>
      </c>
      <c r="O45" s="7">
        <f t="shared" si="2"/>
        <v>2980</v>
      </c>
      <c r="P45" s="5">
        <v>3442</v>
      </c>
      <c r="Q45" s="5">
        <v>4108.3500000000004</v>
      </c>
      <c r="R45" s="5">
        <v>21</v>
      </c>
      <c r="S45" s="5">
        <v>23</v>
      </c>
    </row>
    <row r="46" spans="1:19" s="1" customFormat="1">
      <c r="A46" s="4" t="s">
        <v>23</v>
      </c>
      <c r="B46" s="4">
        <v>8</v>
      </c>
      <c r="C46" s="5">
        <v>998</v>
      </c>
      <c r="D46" s="5">
        <v>3690</v>
      </c>
      <c r="E46" s="7">
        <f t="shared" si="0"/>
        <v>4688</v>
      </c>
      <c r="F46" s="5">
        <v>578</v>
      </c>
      <c r="G46" s="5">
        <v>2245</v>
      </c>
      <c r="H46" s="5">
        <v>178</v>
      </c>
      <c r="I46" s="5">
        <v>561</v>
      </c>
      <c r="J46" s="7">
        <f t="shared" si="1"/>
        <v>3562</v>
      </c>
      <c r="K46" s="5">
        <v>388</v>
      </c>
      <c r="L46" s="5">
        <v>563</v>
      </c>
      <c r="M46" s="5">
        <v>441</v>
      </c>
      <c r="N46" s="5">
        <v>1431</v>
      </c>
      <c r="O46" s="7">
        <f t="shared" si="2"/>
        <v>2823</v>
      </c>
      <c r="P46" s="5">
        <v>3311</v>
      </c>
      <c r="Q46" s="5">
        <v>4539.68</v>
      </c>
      <c r="R46" s="5">
        <v>0</v>
      </c>
      <c r="S46" s="5">
        <v>1</v>
      </c>
    </row>
    <row r="47" spans="1:19" s="1" customFormat="1">
      <c r="A47" s="4" t="s">
        <v>23</v>
      </c>
      <c r="B47" s="4">
        <v>9</v>
      </c>
      <c r="C47" s="5">
        <v>952</v>
      </c>
      <c r="D47" s="5">
        <v>3359</v>
      </c>
      <c r="E47" s="7">
        <f t="shared" si="0"/>
        <v>4311</v>
      </c>
      <c r="F47" s="5">
        <v>621</v>
      </c>
      <c r="G47" s="5">
        <v>2408</v>
      </c>
      <c r="H47" s="5">
        <v>213</v>
      </c>
      <c r="I47" s="5">
        <v>672</v>
      </c>
      <c r="J47" s="7">
        <f t="shared" si="1"/>
        <v>3914</v>
      </c>
      <c r="K47" s="5">
        <v>398</v>
      </c>
      <c r="L47" s="5">
        <v>685</v>
      </c>
      <c r="M47" s="5">
        <v>452</v>
      </c>
      <c r="N47" s="5">
        <v>1494</v>
      </c>
      <c r="O47" s="7">
        <f t="shared" si="2"/>
        <v>3029</v>
      </c>
      <c r="P47" s="5">
        <v>3845</v>
      </c>
      <c r="Q47" s="5">
        <v>4611</v>
      </c>
      <c r="R47" s="5">
        <v>3</v>
      </c>
      <c r="S47" s="5">
        <v>0</v>
      </c>
    </row>
    <row r="48" spans="1:19" s="1" customFormat="1">
      <c r="A48" s="4" t="s">
        <v>23</v>
      </c>
      <c r="B48" s="4">
        <v>10</v>
      </c>
      <c r="C48" s="5">
        <v>876</v>
      </c>
      <c r="D48" s="5">
        <v>2933</v>
      </c>
      <c r="E48" s="7">
        <f t="shared" si="0"/>
        <v>3809</v>
      </c>
      <c r="F48" s="5">
        <v>501</v>
      </c>
      <c r="G48" s="5">
        <v>1781</v>
      </c>
      <c r="H48" s="5">
        <v>224</v>
      </c>
      <c r="I48" s="5">
        <v>579</v>
      </c>
      <c r="J48" s="7">
        <f t="shared" si="1"/>
        <v>3085</v>
      </c>
      <c r="K48" s="5">
        <v>334</v>
      </c>
      <c r="L48" s="5">
        <v>465</v>
      </c>
      <c r="M48" s="5">
        <v>282</v>
      </c>
      <c r="N48" s="5">
        <v>1311</v>
      </c>
      <c r="O48" s="7">
        <f t="shared" si="2"/>
        <v>2392</v>
      </c>
      <c r="P48" s="5">
        <v>3095</v>
      </c>
      <c r="Q48" s="5">
        <v>4205.1000000000004</v>
      </c>
      <c r="R48" s="5">
        <v>41</v>
      </c>
      <c r="S48" s="5">
        <v>18</v>
      </c>
    </row>
    <row r="49" spans="1:19" s="1" customFormat="1">
      <c r="A49" s="4" t="s">
        <v>23</v>
      </c>
      <c r="B49" s="4">
        <v>11</v>
      </c>
      <c r="C49" s="5">
        <v>915</v>
      </c>
      <c r="D49" s="5">
        <v>2919</v>
      </c>
      <c r="E49" s="7">
        <f t="shared" si="0"/>
        <v>3834</v>
      </c>
      <c r="F49" s="5">
        <v>557</v>
      </c>
      <c r="G49" s="5">
        <v>1760</v>
      </c>
      <c r="H49" s="5">
        <v>205</v>
      </c>
      <c r="I49" s="5">
        <v>674</v>
      </c>
      <c r="J49" s="7">
        <f t="shared" si="1"/>
        <v>3196</v>
      </c>
      <c r="K49" s="5">
        <v>341</v>
      </c>
      <c r="L49" s="5">
        <v>591</v>
      </c>
      <c r="M49" s="5">
        <v>313</v>
      </c>
      <c r="N49" s="5">
        <v>1349</v>
      </c>
      <c r="O49" s="7">
        <f t="shared" si="2"/>
        <v>2594</v>
      </c>
      <c r="P49" s="5">
        <v>1275</v>
      </c>
      <c r="Q49" s="5">
        <v>1314.58</v>
      </c>
      <c r="R49" s="5">
        <v>25</v>
      </c>
      <c r="S49" s="5">
        <v>17</v>
      </c>
    </row>
    <row r="50" spans="1:19" s="1" customFormat="1">
      <c r="A50" s="4" t="s">
        <v>23</v>
      </c>
      <c r="B50" s="4">
        <v>12</v>
      </c>
      <c r="C50" s="5">
        <v>1210</v>
      </c>
      <c r="D50" s="5">
        <v>4116</v>
      </c>
      <c r="E50" s="7">
        <f t="shared" si="0"/>
        <v>5326</v>
      </c>
      <c r="F50" s="5">
        <v>845</v>
      </c>
      <c r="G50" s="5">
        <v>2941</v>
      </c>
      <c r="H50" s="5">
        <v>323</v>
      </c>
      <c r="I50" s="5">
        <v>1003</v>
      </c>
      <c r="J50" s="7">
        <f t="shared" si="1"/>
        <v>5112</v>
      </c>
      <c r="K50" s="5">
        <v>506</v>
      </c>
      <c r="L50" s="5">
        <v>750</v>
      </c>
      <c r="M50" s="5">
        <v>584</v>
      </c>
      <c r="N50" s="5">
        <v>1946</v>
      </c>
      <c r="O50" s="7">
        <f t="shared" si="2"/>
        <v>3786</v>
      </c>
      <c r="P50" s="5">
        <v>8612</v>
      </c>
      <c r="Q50" s="5">
        <v>7344.17</v>
      </c>
      <c r="R50" s="5">
        <v>3</v>
      </c>
      <c r="S50" s="5">
        <v>3.67</v>
      </c>
    </row>
    <row r="51" spans="1:19" s="1" customFormat="1">
      <c r="A51" s="4" t="s">
        <v>24</v>
      </c>
      <c r="B51" s="4">
        <v>1</v>
      </c>
      <c r="C51" s="5">
        <v>1189</v>
      </c>
      <c r="D51" s="5">
        <v>2569</v>
      </c>
      <c r="E51" s="7">
        <f t="shared" si="0"/>
        <v>3758</v>
      </c>
      <c r="F51" s="5">
        <v>867</v>
      </c>
      <c r="G51" s="5">
        <v>1838</v>
      </c>
      <c r="H51" s="5">
        <v>239</v>
      </c>
      <c r="I51" s="5">
        <v>522</v>
      </c>
      <c r="J51" s="7">
        <f t="shared" si="1"/>
        <v>3466</v>
      </c>
      <c r="K51" s="5">
        <v>469</v>
      </c>
      <c r="L51" s="5">
        <v>741</v>
      </c>
      <c r="M51" s="5">
        <v>438</v>
      </c>
      <c r="N51" s="5">
        <v>1057</v>
      </c>
      <c r="O51" s="7">
        <f t="shared" si="2"/>
        <v>2705</v>
      </c>
      <c r="P51" s="5">
        <v>2399</v>
      </c>
      <c r="Q51" s="5">
        <v>3450.15</v>
      </c>
      <c r="R51" s="5">
        <v>0</v>
      </c>
      <c r="S51" s="5">
        <v>0</v>
      </c>
    </row>
    <row r="52" spans="1:19" s="1" customFormat="1">
      <c r="A52" s="4" t="s">
        <v>24</v>
      </c>
      <c r="B52" s="4">
        <v>2</v>
      </c>
      <c r="C52" s="5">
        <v>928</v>
      </c>
      <c r="D52" s="5">
        <v>2049</v>
      </c>
      <c r="E52" s="7">
        <f t="shared" si="0"/>
        <v>2977</v>
      </c>
      <c r="F52" s="5">
        <v>658</v>
      </c>
      <c r="G52" s="5">
        <v>1221</v>
      </c>
      <c r="H52" s="5">
        <v>148</v>
      </c>
      <c r="I52" s="5">
        <v>368</v>
      </c>
      <c r="J52" s="7">
        <f t="shared" si="1"/>
        <v>2395</v>
      </c>
      <c r="K52" s="5">
        <v>345</v>
      </c>
      <c r="L52" s="5">
        <v>520</v>
      </c>
      <c r="M52" s="5">
        <v>283</v>
      </c>
      <c r="N52" s="5">
        <v>731</v>
      </c>
      <c r="O52" s="7">
        <f t="shared" si="2"/>
        <v>1879</v>
      </c>
      <c r="P52" s="5">
        <v>1770</v>
      </c>
      <c r="Q52" s="5">
        <v>3042.45</v>
      </c>
      <c r="R52" s="5">
        <v>0</v>
      </c>
      <c r="S52" s="5">
        <v>0.25</v>
      </c>
    </row>
    <row r="53" spans="1:19" s="1" customFormat="1">
      <c r="A53" s="4" t="s">
        <v>24</v>
      </c>
      <c r="B53" s="4">
        <v>3</v>
      </c>
      <c r="C53" s="5">
        <v>1076</v>
      </c>
      <c r="D53" s="5">
        <v>1894</v>
      </c>
      <c r="E53" s="7">
        <f t="shared" si="0"/>
        <v>2970</v>
      </c>
      <c r="F53" s="5">
        <v>791</v>
      </c>
      <c r="G53" s="5">
        <v>1365</v>
      </c>
      <c r="H53" s="5">
        <v>227</v>
      </c>
      <c r="I53" s="5">
        <v>421</v>
      </c>
      <c r="J53" s="7">
        <f t="shared" si="1"/>
        <v>2804</v>
      </c>
      <c r="K53" s="5">
        <v>380</v>
      </c>
      <c r="L53" s="5">
        <v>593</v>
      </c>
      <c r="M53" s="5">
        <v>284</v>
      </c>
      <c r="N53" s="5">
        <v>900</v>
      </c>
      <c r="O53" s="7">
        <f t="shared" si="2"/>
        <v>2157</v>
      </c>
      <c r="P53" s="5">
        <v>2580</v>
      </c>
      <c r="Q53" s="5">
        <v>4011.98</v>
      </c>
      <c r="R53" s="5">
        <v>106</v>
      </c>
      <c r="S53" s="5">
        <v>2</v>
      </c>
    </row>
    <row r="54" spans="1:19" s="1" customFormat="1">
      <c r="A54" s="4" t="s">
        <v>24</v>
      </c>
      <c r="B54" s="4">
        <v>4</v>
      </c>
      <c r="C54" s="5">
        <v>1182</v>
      </c>
      <c r="D54" s="5">
        <v>2247</v>
      </c>
      <c r="E54" s="7">
        <f t="shared" si="0"/>
        <v>3429</v>
      </c>
      <c r="F54" s="5">
        <v>857</v>
      </c>
      <c r="G54" s="5">
        <v>1627</v>
      </c>
      <c r="H54" s="5">
        <v>223</v>
      </c>
      <c r="I54" s="5">
        <v>468</v>
      </c>
      <c r="J54" s="7">
        <f t="shared" si="1"/>
        <v>3175</v>
      </c>
      <c r="K54" s="5">
        <v>414</v>
      </c>
      <c r="L54" s="5">
        <v>683</v>
      </c>
      <c r="M54" s="5">
        <v>370</v>
      </c>
      <c r="N54" s="5">
        <v>1011</v>
      </c>
      <c r="O54" s="7">
        <f t="shared" si="2"/>
        <v>2478</v>
      </c>
      <c r="P54" s="5">
        <v>2203</v>
      </c>
      <c r="Q54" s="5">
        <v>3789.85</v>
      </c>
      <c r="R54" s="5">
        <v>0</v>
      </c>
      <c r="S54" s="5">
        <v>1</v>
      </c>
    </row>
    <row r="55" spans="1:19" s="1" customFormat="1">
      <c r="A55" s="4" t="s">
        <v>24</v>
      </c>
      <c r="B55" s="4">
        <v>5</v>
      </c>
      <c r="C55" s="5">
        <v>1164</v>
      </c>
      <c r="D55" s="5">
        <v>2416</v>
      </c>
      <c r="E55" s="7">
        <f t="shared" si="0"/>
        <v>3580</v>
      </c>
      <c r="F55" s="5">
        <v>868</v>
      </c>
      <c r="G55" s="5">
        <v>1771</v>
      </c>
      <c r="H55" s="5">
        <v>250</v>
      </c>
      <c r="I55" s="5">
        <v>484</v>
      </c>
      <c r="J55" s="7">
        <f t="shared" si="1"/>
        <v>3373</v>
      </c>
      <c r="K55" s="5">
        <v>411</v>
      </c>
      <c r="L55" s="5">
        <v>722</v>
      </c>
      <c r="M55" s="5">
        <v>452</v>
      </c>
      <c r="N55" s="5">
        <v>1053</v>
      </c>
      <c r="O55" s="7">
        <f t="shared" si="2"/>
        <v>2638</v>
      </c>
      <c r="P55" s="5">
        <v>3858</v>
      </c>
      <c r="Q55" s="5">
        <v>4714.3999999999996</v>
      </c>
      <c r="R55" s="5">
        <v>0</v>
      </c>
      <c r="S55" s="5">
        <v>0</v>
      </c>
    </row>
    <row r="56" spans="1:19" s="1" customFormat="1">
      <c r="A56" s="4" t="s">
        <v>24</v>
      </c>
      <c r="B56" s="4">
        <v>6</v>
      </c>
      <c r="C56" s="5">
        <v>1307</v>
      </c>
      <c r="D56" s="5">
        <v>2980</v>
      </c>
      <c r="E56" s="7">
        <f t="shared" si="0"/>
        <v>4287</v>
      </c>
      <c r="F56" s="5">
        <v>1050</v>
      </c>
      <c r="G56" s="5">
        <v>2286</v>
      </c>
      <c r="H56" s="5">
        <v>226</v>
      </c>
      <c r="I56" s="5">
        <v>609</v>
      </c>
      <c r="J56" s="7">
        <f t="shared" si="1"/>
        <v>4171</v>
      </c>
      <c r="K56" s="5">
        <v>461</v>
      </c>
      <c r="L56" s="5">
        <v>944</v>
      </c>
      <c r="M56" s="5">
        <v>600</v>
      </c>
      <c r="N56" s="5">
        <v>1337</v>
      </c>
      <c r="O56" s="7">
        <f t="shared" si="2"/>
        <v>3342</v>
      </c>
      <c r="P56" s="5">
        <v>5382</v>
      </c>
      <c r="Q56" s="5">
        <v>6586.5</v>
      </c>
      <c r="R56" s="5">
        <v>0</v>
      </c>
      <c r="S56" s="5">
        <v>0</v>
      </c>
    </row>
    <row r="57" spans="1:19" s="1" customFormat="1">
      <c r="A57" s="4" t="s">
        <v>24</v>
      </c>
      <c r="B57" s="4">
        <v>7</v>
      </c>
      <c r="C57" s="5">
        <v>1332</v>
      </c>
      <c r="D57" s="5">
        <v>3173</v>
      </c>
      <c r="E57" s="7">
        <f t="shared" si="0"/>
        <v>4505</v>
      </c>
      <c r="F57" s="5">
        <v>1052</v>
      </c>
      <c r="G57" s="5">
        <v>2520</v>
      </c>
      <c r="H57" s="5">
        <v>277</v>
      </c>
      <c r="I57" s="5">
        <v>647</v>
      </c>
      <c r="J57" s="7">
        <f t="shared" si="1"/>
        <v>4496</v>
      </c>
      <c r="K57" s="5">
        <v>508</v>
      </c>
      <c r="L57" s="5">
        <v>967</v>
      </c>
      <c r="M57" s="5">
        <v>679</v>
      </c>
      <c r="N57" s="5">
        <v>1418</v>
      </c>
      <c r="O57" s="7">
        <f t="shared" si="2"/>
        <v>3572</v>
      </c>
      <c r="P57" s="5">
        <v>4988</v>
      </c>
      <c r="Q57" s="5">
        <v>5634.6</v>
      </c>
      <c r="R57" s="5">
        <v>0</v>
      </c>
      <c r="S57" s="5">
        <v>3.5</v>
      </c>
    </row>
    <row r="58" spans="1:19" s="1" customFormat="1">
      <c r="A58" s="4" t="s">
        <v>24</v>
      </c>
      <c r="B58" s="4">
        <v>8</v>
      </c>
      <c r="C58" s="5">
        <v>1058</v>
      </c>
      <c r="D58" s="5">
        <v>2650</v>
      </c>
      <c r="E58" s="7">
        <f t="shared" si="0"/>
        <v>3708</v>
      </c>
      <c r="F58" s="5">
        <v>807</v>
      </c>
      <c r="G58" s="5">
        <v>1897</v>
      </c>
      <c r="H58" s="5">
        <v>229</v>
      </c>
      <c r="I58" s="5">
        <v>696</v>
      </c>
      <c r="J58" s="7">
        <f t="shared" si="1"/>
        <v>3629</v>
      </c>
      <c r="K58" s="5">
        <v>451</v>
      </c>
      <c r="L58" s="5">
        <v>713</v>
      </c>
      <c r="M58" s="5">
        <v>485</v>
      </c>
      <c r="N58" s="5">
        <v>1050</v>
      </c>
      <c r="O58" s="7">
        <f t="shared" si="2"/>
        <v>2699</v>
      </c>
      <c r="P58" s="5">
        <v>4884</v>
      </c>
      <c r="Q58" s="5">
        <v>6450.45</v>
      </c>
      <c r="R58" s="5">
        <v>1</v>
      </c>
      <c r="S58" s="5">
        <v>27</v>
      </c>
    </row>
    <row r="59" spans="1:19" s="1" customFormat="1">
      <c r="A59" s="4" t="s">
        <v>24</v>
      </c>
      <c r="B59" s="4">
        <v>9</v>
      </c>
      <c r="C59" s="5">
        <v>1291</v>
      </c>
      <c r="D59" s="5">
        <v>3172</v>
      </c>
      <c r="E59" s="7">
        <f t="shared" si="0"/>
        <v>4463</v>
      </c>
      <c r="F59" s="5">
        <v>990</v>
      </c>
      <c r="G59" s="5">
        <v>2284</v>
      </c>
      <c r="H59" s="5">
        <v>299</v>
      </c>
      <c r="I59" s="5">
        <v>884</v>
      </c>
      <c r="J59" s="7">
        <f t="shared" si="1"/>
        <v>4457</v>
      </c>
      <c r="K59" s="5">
        <v>486</v>
      </c>
      <c r="L59" s="5">
        <v>896</v>
      </c>
      <c r="M59" s="5">
        <v>601</v>
      </c>
      <c r="N59" s="5">
        <v>1293</v>
      </c>
      <c r="O59" s="7">
        <f t="shared" si="2"/>
        <v>3276</v>
      </c>
      <c r="P59" s="5">
        <v>4702</v>
      </c>
      <c r="Q59" s="5">
        <v>6388.2</v>
      </c>
      <c r="R59" s="5">
        <v>0</v>
      </c>
      <c r="S59" s="5">
        <v>0</v>
      </c>
    </row>
    <row r="60" spans="1:19" s="1" customFormat="1">
      <c r="A60" s="4" t="s">
        <v>24</v>
      </c>
      <c r="B60" s="4">
        <v>10</v>
      </c>
      <c r="C60" s="5">
        <v>1019</v>
      </c>
      <c r="D60" s="5">
        <v>2629</v>
      </c>
      <c r="E60" s="7">
        <f t="shared" si="0"/>
        <v>3648</v>
      </c>
      <c r="F60" s="5">
        <v>715</v>
      </c>
      <c r="G60" s="5">
        <v>1618</v>
      </c>
      <c r="H60" s="5">
        <v>273</v>
      </c>
      <c r="I60" s="5">
        <v>898</v>
      </c>
      <c r="J60" s="7">
        <f t="shared" si="1"/>
        <v>3504</v>
      </c>
      <c r="K60" s="5">
        <v>341</v>
      </c>
      <c r="L60" s="5">
        <v>660</v>
      </c>
      <c r="M60" s="5">
        <v>453</v>
      </c>
      <c r="N60" s="5">
        <v>879</v>
      </c>
      <c r="O60" s="7">
        <f t="shared" si="2"/>
        <v>2333</v>
      </c>
      <c r="P60" s="5">
        <v>4107</v>
      </c>
      <c r="Q60" s="5">
        <v>6169.1</v>
      </c>
      <c r="R60" s="5">
        <v>0</v>
      </c>
      <c r="S60" s="5">
        <v>19</v>
      </c>
    </row>
    <row r="61" spans="1:19" s="1" customFormat="1">
      <c r="A61" s="4" t="s">
        <v>24</v>
      </c>
      <c r="B61" s="4">
        <v>11</v>
      </c>
      <c r="C61" s="5">
        <v>1129</v>
      </c>
      <c r="D61" s="5">
        <v>2684</v>
      </c>
      <c r="E61" s="7">
        <f t="shared" si="0"/>
        <v>3813</v>
      </c>
      <c r="F61" s="5">
        <v>797</v>
      </c>
      <c r="G61" s="5">
        <v>1650</v>
      </c>
      <c r="H61" s="5">
        <v>300</v>
      </c>
      <c r="I61" s="5">
        <v>902</v>
      </c>
      <c r="J61" s="7">
        <f t="shared" si="1"/>
        <v>3649</v>
      </c>
      <c r="K61" s="5">
        <v>349</v>
      </c>
      <c r="L61" s="5">
        <v>708</v>
      </c>
      <c r="M61" s="5">
        <v>425</v>
      </c>
      <c r="N61" s="5">
        <v>965</v>
      </c>
      <c r="O61" s="7">
        <f t="shared" si="2"/>
        <v>2447</v>
      </c>
      <c r="P61" s="5">
        <v>5970</v>
      </c>
      <c r="Q61" s="5">
        <v>7932.6</v>
      </c>
      <c r="R61" s="5">
        <v>0</v>
      </c>
      <c r="S61" s="5">
        <v>2</v>
      </c>
    </row>
    <row r="62" spans="1:19" s="1" customFormat="1">
      <c r="A62" s="4" t="s">
        <v>24</v>
      </c>
      <c r="B62" s="4">
        <v>12</v>
      </c>
      <c r="C62" s="5">
        <v>1424</v>
      </c>
      <c r="D62" s="5">
        <v>4070</v>
      </c>
      <c r="E62" s="7">
        <f t="shared" si="0"/>
        <v>5494</v>
      </c>
      <c r="F62" s="5">
        <v>1110</v>
      </c>
      <c r="G62" s="5">
        <v>2984</v>
      </c>
      <c r="H62" s="5">
        <v>356</v>
      </c>
      <c r="I62" s="5">
        <v>1330</v>
      </c>
      <c r="J62" s="7">
        <f t="shared" si="1"/>
        <v>5780</v>
      </c>
      <c r="K62" s="5">
        <v>491</v>
      </c>
      <c r="L62" s="5">
        <v>1101</v>
      </c>
      <c r="M62" s="5">
        <v>798</v>
      </c>
      <c r="N62" s="5">
        <v>1689</v>
      </c>
      <c r="O62" s="7">
        <f t="shared" si="2"/>
        <v>4079</v>
      </c>
      <c r="P62" s="5">
        <v>6177</v>
      </c>
      <c r="Q62" s="5">
        <v>10521.83</v>
      </c>
      <c r="R62" s="5">
        <v>0</v>
      </c>
      <c r="S62" s="5">
        <v>0.75</v>
      </c>
    </row>
    <row r="63" spans="1:19" s="1" customFormat="1">
      <c r="A63" s="4" t="s">
        <v>25</v>
      </c>
      <c r="B63" s="4">
        <v>1</v>
      </c>
      <c r="C63" s="5">
        <v>707</v>
      </c>
      <c r="D63" s="5">
        <v>1708</v>
      </c>
      <c r="E63" s="7">
        <f t="shared" si="0"/>
        <v>2415</v>
      </c>
      <c r="F63" s="5">
        <v>516</v>
      </c>
      <c r="G63" s="5">
        <v>1232</v>
      </c>
      <c r="H63" s="5">
        <v>83</v>
      </c>
      <c r="I63" s="5">
        <v>207</v>
      </c>
      <c r="J63" s="7">
        <f t="shared" si="1"/>
        <v>2038</v>
      </c>
      <c r="K63" s="5">
        <v>316</v>
      </c>
      <c r="L63" s="5">
        <v>413</v>
      </c>
      <c r="M63" s="5">
        <v>272</v>
      </c>
      <c r="N63" s="5">
        <v>746</v>
      </c>
      <c r="O63" s="7">
        <f t="shared" si="2"/>
        <v>1747</v>
      </c>
      <c r="P63" s="5">
        <v>1722</v>
      </c>
      <c r="Q63" s="5">
        <v>2832.91</v>
      </c>
      <c r="R63" s="5">
        <v>4</v>
      </c>
      <c r="S63" s="5">
        <v>0</v>
      </c>
    </row>
    <row r="64" spans="1:19" s="1" customFormat="1">
      <c r="A64" s="4" t="s">
        <v>25</v>
      </c>
      <c r="B64" s="4">
        <v>2</v>
      </c>
      <c r="C64" s="5">
        <v>505</v>
      </c>
      <c r="D64" s="5">
        <v>1363</v>
      </c>
      <c r="E64" s="7">
        <f t="shared" si="0"/>
        <v>1868</v>
      </c>
      <c r="F64" s="5">
        <v>281</v>
      </c>
      <c r="G64" s="5">
        <v>780</v>
      </c>
      <c r="H64" s="5">
        <v>49</v>
      </c>
      <c r="I64" s="5">
        <v>146</v>
      </c>
      <c r="J64" s="7">
        <f t="shared" si="1"/>
        <v>1256</v>
      </c>
      <c r="K64" s="5">
        <v>199</v>
      </c>
      <c r="L64" s="5">
        <v>257</v>
      </c>
      <c r="M64" s="5">
        <v>202</v>
      </c>
      <c r="N64" s="5">
        <v>393</v>
      </c>
      <c r="O64" s="7">
        <f t="shared" si="2"/>
        <v>1051</v>
      </c>
      <c r="P64" s="5">
        <v>1148</v>
      </c>
      <c r="Q64" s="5">
        <v>2241.91</v>
      </c>
      <c r="R64" s="5">
        <v>0</v>
      </c>
      <c r="S64" s="5">
        <v>0</v>
      </c>
    </row>
    <row r="65" spans="1:19" s="1" customFormat="1">
      <c r="A65" s="4" t="s">
        <v>25</v>
      </c>
      <c r="B65" s="4">
        <v>3</v>
      </c>
      <c r="C65" s="5">
        <v>644</v>
      </c>
      <c r="D65" s="5">
        <v>1567</v>
      </c>
      <c r="E65" s="7">
        <f t="shared" si="0"/>
        <v>2211</v>
      </c>
      <c r="F65" s="5">
        <v>459</v>
      </c>
      <c r="G65" s="5">
        <v>1090</v>
      </c>
      <c r="H65" s="5">
        <v>132</v>
      </c>
      <c r="I65" s="5">
        <v>282</v>
      </c>
      <c r="J65" s="7">
        <f t="shared" si="1"/>
        <v>1963</v>
      </c>
      <c r="K65" s="5">
        <v>294</v>
      </c>
      <c r="L65" s="5">
        <v>402</v>
      </c>
      <c r="M65" s="5">
        <v>211</v>
      </c>
      <c r="N65" s="5">
        <v>657</v>
      </c>
      <c r="O65" s="7">
        <f t="shared" si="2"/>
        <v>1564</v>
      </c>
      <c r="P65" s="5">
        <v>2378</v>
      </c>
      <c r="Q65" s="5">
        <v>2954.91</v>
      </c>
      <c r="R65" s="5">
        <v>0</v>
      </c>
      <c r="S65" s="5">
        <v>0</v>
      </c>
    </row>
    <row r="66" spans="1:19" s="1" customFormat="1">
      <c r="A66" s="4" t="s">
        <v>25</v>
      </c>
      <c r="B66" s="4">
        <v>4</v>
      </c>
      <c r="C66" s="5">
        <v>609</v>
      </c>
      <c r="D66" s="5">
        <v>1647</v>
      </c>
      <c r="E66" s="7">
        <f t="shared" si="0"/>
        <v>2256</v>
      </c>
      <c r="F66" s="5">
        <v>421</v>
      </c>
      <c r="G66" s="5">
        <v>1184</v>
      </c>
      <c r="H66" s="5">
        <v>66</v>
      </c>
      <c r="I66" s="5">
        <v>206</v>
      </c>
      <c r="J66" s="7">
        <f t="shared" si="1"/>
        <v>1877</v>
      </c>
      <c r="K66" s="5">
        <v>376</v>
      </c>
      <c r="L66" s="5">
        <v>373</v>
      </c>
      <c r="M66" s="5">
        <v>243</v>
      </c>
      <c r="N66" s="5">
        <v>619</v>
      </c>
      <c r="O66" s="7">
        <f t="shared" si="2"/>
        <v>1611</v>
      </c>
      <c r="P66" s="5">
        <v>1342</v>
      </c>
      <c r="Q66" s="5">
        <v>2269.5699999999997</v>
      </c>
      <c r="R66" s="5">
        <v>0</v>
      </c>
      <c r="S66" s="5">
        <v>0</v>
      </c>
    </row>
    <row r="67" spans="1:19" s="1" customFormat="1">
      <c r="A67" s="4" t="s">
        <v>25</v>
      </c>
      <c r="B67" s="4">
        <v>5</v>
      </c>
      <c r="C67" s="5">
        <v>625</v>
      </c>
      <c r="D67" s="5">
        <v>1763</v>
      </c>
      <c r="E67" s="7">
        <f t="shared" si="0"/>
        <v>2388</v>
      </c>
      <c r="F67" s="5">
        <v>424</v>
      </c>
      <c r="G67" s="5">
        <v>1205</v>
      </c>
      <c r="H67" s="5">
        <v>105</v>
      </c>
      <c r="I67" s="5">
        <v>256</v>
      </c>
      <c r="J67" s="7">
        <f t="shared" si="1"/>
        <v>1990</v>
      </c>
      <c r="K67" s="5">
        <v>297</v>
      </c>
      <c r="L67" s="5">
        <v>456</v>
      </c>
      <c r="M67" s="5">
        <v>275</v>
      </c>
      <c r="N67" s="5">
        <v>597</v>
      </c>
      <c r="O67" s="7">
        <f t="shared" si="2"/>
        <v>1625</v>
      </c>
      <c r="P67" s="5">
        <v>1433</v>
      </c>
      <c r="Q67" s="5">
        <v>1860.46</v>
      </c>
      <c r="R67" s="5">
        <v>0</v>
      </c>
      <c r="S67" s="5">
        <v>3</v>
      </c>
    </row>
    <row r="68" spans="1:19" s="1" customFormat="1">
      <c r="A68" s="4" t="s">
        <v>25</v>
      </c>
      <c r="B68" s="4">
        <v>6</v>
      </c>
      <c r="C68" s="5">
        <v>624</v>
      </c>
      <c r="D68" s="5">
        <v>1647</v>
      </c>
      <c r="E68" s="7">
        <f t="shared" ref="E68:E74" si="3">SUM(C68:D68)</f>
        <v>2271</v>
      </c>
      <c r="F68" s="5">
        <v>426</v>
      </c>
      <c r="G68" s="5">
        <v>1126</v>
      </c>
      <c r="H68" s="5">
        <v>95</v>
      </c>
      <c r="I68" s="5">
        <v>264</v>
      </c>
      <c r="J68" s="7">
        <f t="shared" ref="J68:J74" si="4">SUM(F68:I68)</f>
        <v>1911</v>
      </c>
      <c r="K68" s="5">
        <v>267</v>
      </c>
      <c r="L68" s="5">
        <v>460</v>
      </c>
      <c r="M68" s="5">
        <v>205</v>
      </c>
      <c r="N68" s="5">
        <v>621</v>
      </c>
      <c r="O68" s="7">
        <f t="shared" ref="O68:O74" si="5">SUM(K68:N68)</f>
        <v>1553</v>
      </c>
      <c r="P68" s="5">
        <v>1582</v>
      </c>
      <c r="Q68" s="5">
        <v>1823.5</v>
      </c>
      <c r="R68" s="5">
        <v>7</v>
      </c>
      <c r="S68" s="5">
        <v>1</v>
      </c>
    </row>
    <row r="69" spans="1:19" s="1" customFormat="1">
      <c r="A69" s="4" t="s">
        <v>25</v>
      </c>
      <c r="B69" s="4">
        <v>7</v>
      </c>
      <c r="C69" s="5">
        <v>648</v>
      </c>
      <c r="D69" s="5">
        <v>1369</v>
      </c>
      <c r="E69" s="7">
        <f t="shared" si="3"/>
        <v>2017</v>
      </c>
      <c r="F69" s="5">
        <v>407</v>
      </c>
      <c r="G69" s="5">
        <v>799</v>
      </c>
      <c r="H69" s="5">
        <v>104</v>
      </c>
      <c r="I69" s="5">
        <v>197</v>
      </c>
      <c r="J69" s="7">
        <f t="shared" si="4"/>
        <v>1507</v>
      </c>
      <c r="K69" s="5">
        <v>267</v>
      </c>
      <c r="L69" s="5">
        <v>307</v>
      </c>
      <c r="M69" s="5">
        <v>241</v>
      </c>
      <c r="N69" s="5">
        <v>391</v>
      </c>
      <c r="O69" s="7">
        <f t="shared" si="5"/>
        <v>1206</v>
      </c>
      <c r="P69" s="5">
        <v>1363</v>
      </c>
      <c r="Q69" s="5">
        <v>1502.7</v>
      </c>
      <c r="R69" s="5">
        <v>0</v>
      </c>
      <c r="S69" s="5">
        <v>0</v>
      </c>
    </row>
    <row r="70" spans="1:19" s="1" customFormat="1">
      <c r="A70" s="4" t="s">
        <v>25</v>
      </c>
      <c r="B70" s="4">
        <v>8</v>
      </c>
      <c r="C70" s="5">
        <v>508</v>
      </c>
      <c r="D70" s="5">
        <v>1474</v>
      </c>
      <c r="E70" s="7">
        <f t="shared" si="3"/>
        <v>1982</v>
      </c>
      <c r="F70" s="5">
        <v>321</v>
      </c>
      <c r="G70" s="5">
        <v>856</v>
      </c>
      <c r="H70" s="5">
        <v>74</v>
      </c>
      <c r="I70" s="5">
        <v>278</v>
      </c>
      <c r="J70" s="7">
        <f t="shared" si="4"/>
        <v>1529</v>
      </c>
      <c r="K70" s="5">
        <v>208</v>
      </c>
      <c r="L70" s="5">
        <v>285</v>
      </c>
      <c r="M70" s="5">
        <v>208</v>
      </c>
      <c r="N70" s="5">
        <v>476</v>
      </c>
      <c r="O70" s="7">
        <f t="shared" si="5"/>
        <v>1177</v>
      </c>
      <c r="P70" s="5">
        <v>1397</v>
      </c>
      <c r="Q70" s="5">
        <v>1844.95</v>
      </c>
      <c r="R70" s="5">
        <v>7</v>
      </c>
      <c r="S70" s="5">
        <v>25</v>
      </c>
    </row>
    <row r="71" spans="1:19" s="1" customFormat="1">
      <c r="A71" s="4" t="s">
        <v>25</v>
      </c>
      <c r="B71" s="4">
        <v>9</v>
      </c>
      <c r="C71" s="5">
        <v>570</v>
      </c>
      <c r="D71" s="5">
        <v>1568</v>
      </c>
      <c r="E71" s="7">
        <f t="shared" si="3"/>
        <v>2138</v>
      </c>
      <c r="F71" s="5">
        <v>404</v>
      </c>
      <c r="G71" s="5">
        <v>1169</v>
      </c>
      <c r="H71" s="5">
        <v>120</v>
      </c>
      <c r="I71" s="5">
        <v>291</v>
      </c>
      <c r="J71" s="7">
        <f t="shared" si="4"/>
        <v>1984</v>
      </c>
      <c r="K71" s="5">
        <v>270</v>
      </c>
      <c r="L71" s="5">
        <v>372</v>
      </c>
      <c r="M71" s="5">
        <v>272</v>
      </c>
      <c r="N71" s="5">
        <v>672</v>
      </c>
      <c r="O71" s="7">
        <f t="shared" si="5"/>
        <v>1586</v>
      </c>
      <c r="P71" s="5">
        <v>2245</v>
      </c>
      <c r="Q71" s="5">
        <v>3077.3</v>
      </c>
      <c r="R71" s="5">
        <v>0</v>
      </c>
      <c r="S71" s="5">
        <v>0</v>
      </c>
    </row>
    <row r="72" spans="1:19" s="1" customFormat="1">
      <c r="A72" s="4" t="s">
        <v>25</v>
      </c>
      <c r="B72" s="4">
        <v>10</v>
      </c>
      <c r="C72" s="5">
        <v>686</v>
      </c>
      <c r="D72" s="5">
        <v>1770</v>
      </c>
      <c r="E72" s="7">
        <f t="shared" si="3"/>
        <v>2456</v>
      </c>
      <c r="F72" s="5">
        <v>506</v>
      </c>
      <c r="G72" s="5">
        <v>1267</v>
      </c>
      <c r="H72" s="5">
        <v>145</v>
      </c>
      <c r="I72" s="5">
        <v>375</v>
      </c>
      <c r="J72" s="7">
        <f t="shared" si="4"/>
        <v>2293</v>
      </c>
      <c r="K72" s="5">
        <v>301</v>
      </c>
      <c r="L72" s="5">
        <v>428</v>
      </c>
      <c r="M72" s="5">
        <v>331</v>
      </c>
      <c r="N72" s="5">
        <v>713</v>
      </c>
      <c r="O72" s="7">
        <f t="shared" si="5"/>
        <v>1773</v>
      </c>
      <c r="P72" s="5">
        <v>1933</v>
      </c>
      <c r="Q72" s="5">
        <v>3035.25</v>
      </c>
      <c r="R72" s="5">
        <v>1</v>
      </c>
      <c r="S72" s="5">
        <v>0</v>
      </c>
    </row>
    <row r="73" spans="1:19" s="1" customFormat="1">
      <c r="A73" s="4" t="s">
        <v>25</v>
      </c>
      <c r="B73" s="4">
        <v>11</v>
      </c>
      <c r="C73" s="5">
        <v>534</v>
      </c>
      <c r="D73" s="5">
        <v>1387</v>
      </c>
      <c r="E73" s="7">
        <f t="shared" si="3"/>
        <v>1921</v>
      </c>
      <c r="F73" s="5">
        <v>362</v>
      </c>
      <c r="G73" s="5">
        <v>991</v>
      </c>
      <c r="H73" s="5">
        <v>130</v>
      </c>
      <c r="I73" s="5">
        <v>270</v>
      </c>
      <c r="J73" s="7">
        <f t="shared" si="4"/>
        <v>1753</v>
      </c>
      <c r="K73" s="5">
        <v>246</v>
      </c>
      <c r="L73" s="5">
        <v>321</v>
      </c>
      <c r="M73" s="5">
        <v>238</v>
      </c>
      <c r="N73" s="5">
        <v>549</v>
      </c>
      <c r="O73" s="7">
        <f t="shared" si="5"/>
        <v>1354</v>
      </c>
      <c r="P73" s="5">
        <v>1720</v>
      </c>
      <c r="Q73" s="5">
        <v>3032.8</v>
      </c>
      <c r="R73" s="5">
        <v>0</v>
      </c>
      <c r="S73" s="5">
        <v>0</v>
      </c>
    </row>
    <row r="74" spans="1:19" s="1" customFormat="1">
      <c r="A74" s="4" t="s">
        <v>25</v>
      </c>
      <c r="B74" s="4">
        <v>12</v>
      </c>
      <c r="C74" s="5">
        <v>711</v>
      </c>
      <c r="D74" s="5">
        <v>1942</v>
      </c>
      <c r="E74" s="7">
        <f t="shared" si="3"/>
        <v>2653</v>
      </c>
      <c r="F74" s="5">
        <v>539</v>
      </c>
      <c r="G74" s="5">
        <v>1462</v>
      </c>
      <c r="H74" s="5">
        <v>158</v>
      </c>
      <c r="I74" s="5">
        <v>429</v>
      </c>
      <c r="J74" s="7">
        <f t="shared" si="4"/>
        <v>2588</v>
      </c>
      <c r="K74" s="5">
        <v>300</v>
      </c>
      <c r="L74" s="5">
        <v>443</v>
      </c>
      <c r="M74" s="5">
        <v>395</v>
      </c>
      <c r="N74" s="5">
        <v>854</v>
      </c>
      <c r="O74" s="7">
        <f t="shared" si="5"/>
        <v>1992</v>
      </c>
      <c r="P74" s="5">
        <v>2589</v>
      </c>
      <c r="Q74" s="5">
        <v>4260.45</v>
      </c>
      <c r="R74" s="5">
        <v>2</v>
      </c>
      <c r="S74" s="5">
        <v>0</v>
      </c>
    </row>
  </sheetData>
  <mergeCells count="1">
    <mergeCell ref="A1:O1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15196813FE84F8C76FC877A3958FA" ma:contentTypeVersion="12" ma:contentTypeDescription="Create a new document." ma:contentTypeScope="" ma:versionID="d33f9bdd36b7049ca4cb831de805bffe">
  <xsd:schema xmlns:xsd="http://www.w3.org/2001/XMLSchema" xmlns:xs="http://www.w3.org/2001/XMLSchema" xmlns:p="http://schemas.microsoft.com/office/2006/metadata/properties" xmlns:ns2="7da81480-be39-4097-981f-3949b06efdc9" xmlns:ns3="da0fb1e6-f681-42cb-b99b-a67ca30d17f1" targetNamespace="http://schemas.microsoft.com/office/2006/metadata/properties" ma:root="true" ma:fieldsID="92e61bd69925c2273d577d5239f09f9d" ns2:_="" ns3:_="">
    <xsd:import namespace="7da81480-be39-4097-981f-3949b06efdc9"/>
    <xsd:import namespace="da0fb1e6-f681-42cb-b99b-a67ca30d17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81480-be39-4097-981f-3949b06e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fb1e6-f681-42cb-b99b-a67ca30d17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3324366-7548-42d6-95cc-aff60a0048ee}" ma:internalName="TaxCatchAll" ma:showField="CatchAllData" ma:web="da0fb1e6-f681-42cb-b99b-a67ca30d17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B32770-8571-4AF4-B906-AC942E8E599A}"/>
</file>

<file path=customXml/itemProps2.xml><?xml version="1.0" encoding="utf-8"?>
<ds:datastoreItem xmlns:ds="http://schemas.openxmlformats.org/officeDocument/2006/customXml" ds:itemID="{0BCD5C4B-8AA0-408D-8FB2-6B12CF0A2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2026-08-06T23:12:12Z</dcterms:created>
  <dcterms:modified xsi:type="dcterms:W3CDTF">2026-08-06T23:12:21Z</dcterms:modified>
  <cp:category/>
  <cp:contentStatus/>
</cp:coreProperties>
</file>