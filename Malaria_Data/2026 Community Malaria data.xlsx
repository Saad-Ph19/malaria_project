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487F\EXCELCNV\7748f013-767a-47c0-ab01-df8ec0eca4d6\"/>
    </mc:Choice>
  </mc:AlternateContent>
  <xr:revisionPtr revIDLastSave="0" documentId="8_{67F11371-EB9B-474D-9121-8EC7FC40D6F9}" xr6:coauthVersionLast="47" xr6:coauthVersionMax="47" xr10:uidLastSave="{00000000-0000-0000-0000-000000000000}"/>
  <bookViews>
    <workbookView xWindow="-60" yWindow="-60" windowWidth="15480" windowHeight="11640" xr2:uid="{83289084-7CC9-4414-865F-35A4497ABF36}"/>
  </bookViews>
  <sheets>
    <sheet name="Sheet 1" sheetId="1" r:id="rId1"/>
  </sheets>
  <definedNames>
    <definedName name="_xlnm._FilterDatabase" localSheetId="0" hidden="1">'Sheet 1'!$A$2:$S$32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" i="1"/>
</calcChain>
</file>

<file path=xl/sharedStrings.xml><?xml version="1.0" encoding="utf-8"?>
<sst xmlns="http://schemas.openxmlformats.org/spreadsheetml/2006/main" count="50" uniqueCount="26">
  <si>
    <t>2026 COMMUNITY MALARIA DATA</t>
  </si>
  <si>
    <t>Subcounty</t>
  </si>
  <si>
    <t>Month</t>
  </si>
  <si>
    <t>Cases.Fever &lt; 5</t>
  </si>
  <si>
    <t>Cases.Fever &gt;= 5</t>
  </si>
  <si>
    <t>Cases.Fever</t>
  </si>
  <si>
    <t>Cases.Fever.with.RDT.Positive &lt; 5</t>
  </si>
  <si>
    <t>Cases.Fever.with.RDT.Positive &gt;= 5</t>
  </si>
  <si>
    <t>Cases.Fever.with.RDT. negative &lt; 5</t>
  </si>
  <si>
    <t>Cases.Fever.with.RDT. negative &gt;= 5</t>
  </si>
  <si>
    <t>Cases.Fever.with.RDT.Done</t>
  </si>
  <si>
    <t>CHEW Weight band 5 to &lt;15 kg  (&lt;3 yrs)</t>
  </si>
  <si>
    <t>CHEW Weight band 15 to &lt;25 kg  (3 to &lt;8 yrs)</t>
  </si>
  <si>
    <t>CHEW Weight band 25 to &lt;35 kg (8 to &lt;12 yrs)</t>
  </si>
  <si>
    <t>CHEW Weight band ≥ 35 kg (≥ 12 yrs)</t>
  </si>
  <si>
    <t>Cases.Fever.with.RDT.Positive.and.ACT</t>
  </si>
  <si>
    <t>Stock mRDTs</t>
  </si>
  <si>
    <t>Stock ACTs</t>
  </si>
  <si>
    <t>Losses mRDTs</t>
  </si>
  <si>
    <t>Losses ACTs</t>
  </si>
  <si>
    <t>Alego Usonga Sub County</t>
  </si>
  <si>
    <t>Bondo Sub County</t>
  </si>
  <si>
    <t>Gem Sub County</t>
  </si>
  <si>
    <t>Rarieda Sub County</t>
  </si>
  <si>
    <t>Ugenya Sub County</t>
  </si>
  <si>
    <t>Ugunja Sub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</si>
</sst>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3" fontId="2" fillId="0" borderId="1" xfId="0" applyNumberFormat="1" applyFont="1" applyBorder="1"/>
    <xf numFmtId="3" fontId="2" fillId="2" borderId="1" xfId="0" applyNumberFormat="1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9B1E-8811-4F0E-8003-A5862BB1F7FF}">
  <dimension ref="A1:S74"/>
  <sheetViews>
    <sheetView tabSelected="1" workbookViewId="0">
      <pane xSplit="2" ySplit="2" topLeftCell="C24" activePane="bottomRight" state="frozen"/>
      <selection pane="bottomRight" activeCell="B28" sqref="B28:B32"/>
      <selection pane="bottomLeft" activeCell="A3" sqref="A3"/>
      <selection pane="topRight" activeCell="C1" sqref="C1"/>
    </sheetView>
  </sheetViews>
  <sheetFormatPr defaultColWidth="8.7109375" defaultRowHeight="15.75"/>
  <cols>
    <col min="1" max="1" width="24.140625" style="3" bestFit="1" customWidth="1"/>
    <col min="2" max="2" width="13.7109375" style="3" bestFit="1" customWidth="1"/>
    <col min="3" max="3" width="13" style="3" customWidth="1"/>
    <col min="4" max="4" width="12" style="3" customWidth="1"/>
    <col min="5" max="5" width="12.85546875" style="3" customWidth="1"/>
    <col min="6" max="6" width="18.42578125" style="3" customWidth="1"/>
    <col min="7" max="7" width="18.28515625" style="3" customWidth="1"/>
    <col min="8" max="8" width="19.5703125" style="3" customWidth="1"/>
    <col min="9" max="9" width="19.85546875" style="3" customWidth="1"/>
    <col min="10" max="10" width="16.42578125" style="3" customWidth="1"/>
    <col min="11" max="14" width="13.42578125" style="3" customWidth="1"/>
    <col min="15" max="15" width="17.85546875" style="3" customWidth="1"/>
    <col min="16" max="16" width="15.5703125" style="3" customWidth="1"/>
    <col min="17" max="17" width="16.42578125" style="3" customWidth="1"/>
    <col min="18" max="18" width="16" style="3" customWidth="1"/>
    <col min="19" max="19" width="14.85546875" style="3" customWidth="1"/>
    <col min="20" max="16384" width="8.7109375" style="3"/>
  </cols>
  <sheetData>
    <row r="1" spans="1:19" s="4" customForma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3"/>
      <c r="Q1" s="3"/>
      <c r="R1" s="3"/>
      <c r="S1" s="3"/>
    </row>
    <row r="2" spans="1:19" s="5" customFormat="1" ht="78.7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2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2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s="4" customFormat="1">
      <c r="A3" s="4" t="s">
        <v>20</v>
      </c>
      <c r="B3" s="4">
        <v>1</v>
      </c>
      <c r="C3" s="6">
        <v>1698</v>
      </c>
      <c r="D3" s="6">
        <v>4510</v>
      </c>
      <c r="E3" s="7">
        <f>SUM(C3:D3)</f>
        <v>6208</v>
      </c>
      <c r="F3" s="6">
        <v>1289</v>
      </c>
      <c r="G3" s="6">
        <v>3306</v>
      </c>
      <c r="H3" s="6">
        <v>299</v>
      </c>
      <c r="I3" s="6">
        <v>959</v>
      </c>
      <c r="J3" s="7">
        <f>SUM(F3:I3)</f>
        <v>5853</v>
      </c>
      <c r="K3" s="6">
        <v>866</v>
      </c>
      <c r="L3" s="6">
        <v>1083</v>
      </c>
      <c r="M3" s="6">
        <v>805</v>
      </c>
      <c r="N3" s="6">
        <v>1841</v>
      </c>
      <c r="O3" s="7">
        <f>SUM(K3:N3)</f>
        <v>4595</v>
      </c>
      <c r="P3" s="6">
        <v>7280</v>
      </c>
      <c r="Q3" s="6">
        <v>10145.56</v>
      </c>
      <c r="R3" s="6">
        <v>360</v>
      </c>
      <c r="S3" s="6">
        <v>93.41</v>
      </c>
    </row>
    <row r="4" spans="1:19" s="4" customFormat="1">
      <c r="A4" s="4" t="s">
        <v>20</v>
      </c>
      <c r="B4" s="4">
        <v>2</v>
      </c>
      <c r="C4" s="6">
        <v>1391</v>
      </c>
      <c r="D4" s="6">
        <v>3655</v>
      </c>
      <c r="E4" s="7">
        <f t="shared" ref="E4:E32" si="0">SUM(C4:D4)</f>
        <v>5046</v>
      </c>
      <c r="F4" s="6">
        <v>911</v>
      </c>
      <c r="G4" s="6">
        <v>2402</v>
      </c>
      <c r="H4" s="6">
        <v>206</v>
      </c>
      <c r="I4" s="6">
        <v>671</v>
      </c>
      <c r="J4" s="7">
        <f t="shared" ref="J4:J32" si="1">SUM(F4:I4)</f>
        <v>4190</v>
      </c>
      <c r="K4" s="6">
        <v>573</v>
      </c>
      <c r="L4" s="6">
        <v>762</v>
      </c>
      <c r="M4" s="6">
        <v>654</v>
      </c>
      <c r="N4" s="6">
        <v>1324</v>
      </c>
      <c r="O4" s="7">
        <f t="shared" ref="O4:O32" si="2">SUM(K4:N4)</f>
        <v>3313</v>
      </c>
      <c r="P4" s="6">
        <v>5123</v>
      </c>
      <c r="Q4" s="6">
        <v>9536.23</v>
      </c>
      <c r="R4" s="6">
        <v>1750</v>
      </c>
      <c r="S4" s="6">
        <v>202</v>
      </c>
    </row>
    <row r="5" spans="1:19" s="4" customFormat="1">
      <c r="A5" s="4" t="s">
        <v>20</v>
      </c>
      <c r="B5" s="4">
        <v>3</v>
      </c>
      <c r="C5" s="6">
        <v>1227</v>
      </c>
      <c r="D5" s="6">
        <v>3023</v>
      </c>
      <c r="E5" s="7">
        <f t="shared" si="0"/>
        <v>4250</v>
      </c>
      <c r="F5" s="6">
        <v>680</v>
      </c>
      <c r="G5" s="6">
        <v>1708</v>
      </c>
      <c r="H5" s="6">
        <v>221</v>
      </c>
      <c r="I5" s="6">
        <v>561</v>
      </c>
      <c r="J5" s="7">
        <f t="shared" si="1"/>
        <v>3170</v>
      </c>
      <c r="K5" s="6">
        <v>435</v>
      </c>
      <c r="L5" s="6">
        <v>573</v>
      </c>
      <c r="M5" s="6">
        <v>453</v>
      </c>
      <c r="N5" s="6">
        <v>971</v>
      </c>
      <c r="O5" s="7">
        <f t="shared" si="2"/>
        <v>2432</v>
      </c>
      <c r="P5" s="6">
        <v>5877</v>
      </c>
      <c r="Q5" s="6">
        <v>10074.57</v>
      </c>
      <c r="R5" s="6">
        <v>2270</v>
      </c>
      <c r="S5" s="6">
        <v>42</v>
      </c>
    </row>
    <row r="6" spans="1:19" s="4" customFormat="1">
      <c r="A6" s="4" t="s">
        <v>20</v>
      </c>
      <c r="B6" s="4">
        <v>4</v>
      </c>
      <c r="C6" s="6">
        <v>1296</v>
      </c>
      <c r="D6" s="6">
        <v>3424</v>
      </c>
      <c r="E6" s="7">
        <f t="shared" si="0"/>
        <v>4720</v>
      </c>
      <c r="F6" s="6">
        <v>868</v>
      </c>
      <c r="G6" s="6">
        <v>2221</v>
      </c>
      <c r="H6" s="6">
        <v>243</v>
      </c>
      <c r="I6" s="6">
        <v>730</v>
      </c>
      <c r="J6" s="7">
        <f t="shared" si="1"/>
        <v>4062</v>
      </c>
      <c r="K6" s="6">
        <v>555</v>
      </c>
      <c r="L6" s="6">
        <v>795</v>
      </c>
      <c r="M6" s="6">
        <v>502</v>
      </c>
      <c r="N6" s="6">
        <v>1237</v>
      </c>
      <c r="O6" s="7">
        <f t="shared" si="2"/>
        <v>3089</v>
      </c>
      <c r="P6" s="6">
        <v>6282</v>
      </c>
      <c r="Q6" s="6">
        <v>9875.08</v>
      </c>
      <c r="R6" s="6">
        <v>662</v>
      </c>
      <c r="S6" s="6">
        <v>154.5</v>
      </c>
    </row>
    <row r="7" spans="1:19" s="4" customFormat="1">
      <c r="A7" s="4" t="s">
        <v>20</v>
      </c>
      <c r="B7" s="4">
        <v>5</v>
      </c>
      <c r="C7" s="6">
        <v>1421</v>
      </c>
      <c r="D7" s="6">
        <v>3561</v>
      </c>
      <c r="E7" s="7">
        <f t="shared" si="0"/>
        <v>4982</v>
      </c>
      <c r="F7" s="6">
        <v>949</v>
      </c>
      <c r="G7" s="6">
        <v>2359</v>
      </c>
      <c r="H7" s="6">
        <v>345</v>
      </c>
      <c r="I7" s="6">
        <v>972</v>
      </c>
      <c r="J7" s="7">
        <f t="shared" si="1"/>
        <v>4625</v>
      </c>
      <c r="K7" s="6">
        <v>585</v>
      </c>
      <c r="L7" s="6">
        <v>782</v>
      </c>
      <c r="M7" s="6">
        <v>524</v>
      </c>
      <c r="N7" s="6">
        <v>1417</v>
      </c>
      <c r="O7" s="7">
        <f t="shared" si="2"/>
        <v>3308</v>
      </c>
      <c r="P7" s="6">
        <v>6446</v>
      </c>
      <c r="Q7" s="6">
        <v>9896.08</v>
      </c>
      <c r="R7" s="6">
        <v>376</v>
      </c>
      <c r="S7" s="6">
        <v>29.33</v>
      </c>
    </row>
    <row r="8" spans="1:19" s="4" customFormat="1">
      <c r="A8" s="4" t="s">
        <v>21</v>
      </c>
      <c r="B8" s="4">
        <v>1</v>
      </c>
      <c r="C8" s="6">
        <v>974</v>
      </c>
      <c r="D8" s="6">
        <v>3230</v>
      </c>
      <c r="E8" s="7">
        <f t="shared" si="0"/>
        <v>4204</v>
      </c>
      <c r="F8" s="6">
        <v>649</v>
      </c>
      <c r="G8" s="6">
        <v>2051</v>
      </c>
      <c r="H8" s="6">
        <v>192</v>
      </c>
      <c r="I8" s="6">
        <v>669</v>
      </c>
      <c r="J8" s="7">
        <f t="shared" si="1"/>
        <v>3561</v>
      </c>
      <c r="K8" s="6">
        <v>454</v>
      </c>
      <c r="L8" s="6">
        <v>600</v>
      </c>
      <c r="M8" s="6">
        <v>484</v>
      </c>
      <c r="N8" s="6">
        <v>1162</v>
      </c>
      <c r="O8" s="7">
        <f t="shared" si="2"/>
        <v>2700</v>
      </c>
      <c r="P8" s="6">
        <v>4119</v>
      </c>
      <c r="Q8" s="6">
        <v>3719.6</v>
      </c>
      <c r="R8" s="6">
        <v>0</v>
      </c>
      <c r="S8" s="6">
        <v>1</v>
      </c>
    </row>
    <row r="9" spans="1:19" s="4" customFormat="1">
      <c r="A9" s="4" t="s">
        <v>21</v>
      </c>
      <c r="B9" s="4">
        <v>2</v>
      </c>
      <c r="C9" s="6">
        <v>930</v>
      </c>
      <c r="D9" s="6">
        <v>2661</v>
      </c>
      <c r="E9" s="7">
        <f t="shared" si="0"/>
        <v>3591</v>
      </c>
      <c r="F9" s="6">
        <v>469</v>
      </c>
      <c r="G9" s="6">
        <v>1343</v>
      </c>
      <c r="H9" s="6">
        <v>146</v>
      </c>
      <c r="I9" s="6">
        <v>476</v>
      </c>
      <c r="J9" s="7">
        <f t="shared" si="1"/>
        <v>2434</v>
      </c>
      <c r="K9" s="6">
        <v>332</v>
      </c>
      <c r="L9" s="6">
        <v>410</v>
      </c>
      <c r="M9" s="6">
        <v>291</v>
      </c>
      <c r="N9" s="6">
        <v>779</v>
      </c>
      <c r="O9" s="7">
        <f t="shared" si="2"/>
        <v>1812</v>
      </c>
      <c r="P9" s="6">
        <v>2885</v>
      </c>
      <c r="Q9" s="6">
        <v>2966.6</v>
      </c>
      <c r="R9" s="6">
        <v>1</v>
      </c>
      <c r="S9" s="6">
        <v>0</v>
      </c>
    </row>
    <row r="10" spans="1:19" s="4" customFormat="1">
      <c r="A10" s="4" t="s">
        <v>21</v>
      </c>
      <c r="B10" s="4">
        <v>3</v>
      </c>
      <c r="C10" s="6">
        <v>765</v>
      </c>
      <c r="D10" s="6">
        <v>2853</v>
      </c>
      <c r="E10" s="7">
        <f t="shared" si="0"/>
        <v>3618</v>
      </c>
      <c r="F10" s="6">
        <v>490</v>
      </c>
      <c r="G10" s="6">
        <v>1774</v>
      </c>
      <c r="H10" s="6">
        <v>173</v>
      </c>
      <c r="I10" s="6">
        <v>623</v>
      </c>
      <c r="J10" s="7">
        <f t="shared" si="1"/>
        <v>3060</v>
      </c>
      <c r="K10" s="6">
        <v>318</v>
      </c>
      <c r="L10" s="6">
        <v>536</v>
      </c>
      <c r="M10" s="6">
        <v>386</v>
      </c>
      <c r="N10" s="6">
        <v>1028</v>
      </c>
      <c r="O10" s="7">
        <f t="shared" si="2"/>
        <v>2268</v>
      </c>
      <c r="P10" s="6">
        <v>3808</v>
      </c>
      <c r="Q10" s="6">
        <v>5415.75</v>
      </c>
      <c r="R10" s="6">
        <v>554</v>
      </c>
      <c r="S10" s="6">
        <v>0</v>
      </c>
    </row>
    <row r="11" spans="1:19" s="4" customFormat="1">
      <c r="A11" s="4" t="s">
        <v>21</v>
      </c>
      <c r="B11" s="4">
        <v>4</v>
      </c>
      <c r="C11" s="6">
        <v>810</v>
      </c>
      <c r="D11" s="6">
        <v>2821</v>
      </c>
      <c r="E11" s="7">
        <f t="shared" si="0"/>
        <v>3631</v>
      </c>
      <c r="F11" s="6">
        <v>468</v>
      </c>
      <c r="G11" s="6">
        <v>1633</v>
      </c>
      <c r="H11" s="6">
        <v>166</v>
      </c>
      <c r="I11" s="6">
        <v>611</v>
      </c>
      <c r="J11" s="7">
        <f t="shared" si="1"/>
        <v>2878</v>
      </c>
      <c r="K11" s="6">
        <v>341</v>
      </c>
      <c r="L11" s="6">
        <v>457</v>
      </c>
      <c r="M11" s="6">
        <v>353</v>
      </c>
      <c r="N11" s="6">
        <v>951</v>
      </c>
      <c r="O11" s="7">
        <f t="shared" si="2"/>
        <v>2102</v>
      </c>
      <c r="P11" s="6">
        <v>2725</v>
      </c>
      <c r="Q11" s="6">
        <v>4745.53</v>
      </c>
      <c r="R11" s="6">
        <v>113</v>
      </c>
      <c r="S11" s="6">
        <v>0</v>
      </c>
    </row>
    <row r="12" spans="1:19" s="4" customFormat="1">
      <c r="A12" s="4" t="s">
        <v>21</v>
      </c>
      <c r="B12" s="4">
        <v>5</v>
      </c>
      <c r="C12" s="6">
        <v>857</v>
      </c>
      <c r="D12" s="6">
        <v>2536</v>
      </c>
      <c r="E12" s="7">
        <f t="shared" si="0"/>
        <v>3393</v>
      </c>
      <c r="F12" s="6">
        <v>440</v>
      </c>
      <c r="G12" s="6">
        <v>1342</v>
      </c>
      <c r="H12" s="6">
        <v>145</v>
      </c>
      <c r="I12" s="6">
        <v>551</v>
      </c>
      <c r="J12" s="7">
        <f t="shared" si="1"/>
        <v>2478</v>
      </c>
      <c r="K12" s="6">
        <v>314</v>
      </c>
      <c r="L12" s="6">
        <v>421</v>
      </c>
      <c r="M12" s="6">
        <v>274</v>
      </c>
      <c r="N12" s="6">
        <v>776</v>
      </c>
      <c r="O12" s="7">
        <f t="shared" si="2"/>
        <v>1785</v>
      </c>
      <c r="P12" s="6">
        <v>2901</v>
      </c>
      <c r="Q12" s="6">
        <v>5133.8</v>
      </c>
      <c r="R12" s="6">
        <v>0</v>
      </c>
      <c r="S12" s="6">
        <v>0</v>
      </c>
    </row>
    <row r="13" spans="1:19" s="4" customFormat="1">
      <c r="A13" s="4" t="s">
        <v>22</v>
      </c>
      <c r="B13" s="4">
        <v>1</v>
      </c>
      <c r="C13" s="6">
        <v>1158</v>
      </c>
      <c r="D13" s="6">
        <v>4036</v>
      </c>
      <c r="E13" s="7">
        <f t="shared" si="0"/>
        <v>5194</v>
      </c>
      <c r="F13" s="6">
        <v>705</v>
      </c>
      <c r="G13" s="6">
        <v>2601</v>
      </c>
      <c r="H13" s="6">
        <v>453</v>
      </c>
      <c r="I13" s="6">
        <v>1403</v>
      </c>
      <c r="J13" s="7">
        <f t="shared" si="1"/>
        <v>5162</v>
      </c>
      <c r="K13" s="6">
        <v>380</v>
      </c>
      <c r="L13" s="6">
        <v>756</v>
      </c>
      <c r="M13" s="6">
        <v>610</v>
      </c>
      <c r="N13" s="6">
        <v>1560</v>
      </c>
      <c r="O13" s="7">
        <f t="shared" si="2"/>
        <v>3306</v>
      </c>
      <c r="P13" s="6">
        <v>6162</v>
      </c>
      <c r="Q13" s="6">
        <v>8264.15</v>
      </c>
      <c r="R13" s="6">
        <v>156</v>
      </c>
      <c r="S13" s="6">
        <v>22</v>
      </c>
    </row>
    <row r="14" spans="1:19" s="4" customFormat="1">
      <c r="A14" s="4" t="s">
        <v>22</v>
      </c>
      <c r="B14" s="4">
        <v>2</v>
      </c>
      <c r="C14" s="6">
        <v>1086</v>
      </c>
      <c r="D14" s="6">
        <v>3692</v>
      </c>
      <c r="E14" s="7">
        <f t="shared" si="0"/>
        <v>4778</v>
      </c>
      <c r="F14" s="6">
        <v>646</v>
      </c>
      <c r="G14" s="6">
        <v>2289</v>
      </c>
      <c r="H14" s="6">
        <v>410</v>
      </c>
      <c r="I14" s="6">
        <v>1310</v>
      </c>
      <c r="J14" s="7">
        <f t="shared" si="1"/>
        <v>4655</v>
      </c>
      <c r="K14" s="6">
        <v>370</v>
      </c>
      <c r="L14" s="6">
        <v>644</v>
      </c>
      <c r="M14" s="6">
        <v>523</v>
      </c>
      <c r="N14" s="6">
        <v>1400</v>
      </c>
      <c r="O14" s="7">
        <f t="shared" si="2"/>
        <v>2937</v>
      </c>
      <c r="P14" s="6">
        <v>3397</v>
      </c>
      <c r="Q14" s="6">
        <v>7477.8</v>
      </c>
      <c r="R14" s="6">
        <v>997</v>
      </c>
      <c r="S14" s="6">
        <v>0</v>
      </c>
    </row>
    <row r="15" spans="1:19" s="4" customFormat="1">
      <c r="A15" s="4" t="s">
        <v>22</v>
      </c>
      <c r="B15" s="4">
        <v>3</v>
      </c>
      <c r="C15" s="6">
        <v>686</v>
      </c>
      <c r="D15" s="6">
        <v>2444</v>
      </c>
      <c r="E15" s="7">
        <f t="shared" si="0"/>
        <v>3130</v>
      </c>
      <c r="F15" s="6">
        <v>257</v>
      </c>
      <c r="G15" s="6">
        <v>1102</v>
      </c>
      <c r="H15" s="6">
        <v>203</v>
      </c>
      <c r="I15" s="6">
        <v>805</v>
      </c>
      <c r="J15" s="7">
        <f t="shared" si="1"/>
        <v>2367</v>
      </c>
      <c r="K15" s="6">
        <v>156</v>
      </c>
      <c r="L15" s="6">
        <v>304</v>
      </c>
      <c r="M15" s="6">
        <v>218</v>
      </c>
      <c r="N15" s="6">
        <v>683</v>
      </c>
      <c r="O15" s="7">
        <f t="shared" si="2"/>
        <v>1361</v>
      </c>
      <c r="P15" s="6">
        <v>2033</v>
      </c>
      <c r="Q15" s="6">
        <v>7588.75</v>
      </c>
      <c r="R15" s="6">
        <v>1408</v>
      </c>
      <c r="S15" s="6">
        <v>0</v>
      </c>
    </row>
    <row r="16" spans="1:19" s="4" customFormat="1">
      <c r="A16" s="4" t="s">
        <v>22</v>
      </c>
      <c r="B16" s="4">
        <v>4</v>
      </c>
      <c r="C16" s="6">
        <v>898</v>
      </c>
      <c r="D16" s="6">
        <v>3046</v>
      </c>
      <c r="E16" s="7">
        <f t="shared" si="0"/>
        <v>3944</v>
      </c>
      <c r="F16" s="6">
        <v>429</v>
      </c>
      <c r="G16" s="6">
        <v>1535</v>
      </c>
      <c r="H16" s="6">
        <v>440</v>
      </c>
      <c r="I16" s="6">
        <v>1406</v>
      </c>
      <c r="J16" s="7">
        <f t="shared" si="1"/>
        <v>3810</v>
      </c>
      <c r="K16" s="6">
        <v>249</v>
      </c>
      <c r="L16" s="6">
        <v>420</v>
      </c>
      <c r="M16" s="6">
        <v>357</v>
      </c>
      <c r="N16" s="6">
        <v>938</v>
      </c>
      <c r="O16" s="7">
        <f t="shared" si="2"/>
        <v>1964</v>
      </c>
      <c r="P16" s="6">
        <v>5016</v>
      </c>
      <c r="Q16" s="6">
        <v>8598.4500000000007</v>
      </c>
      <c r="R16" s="6">
        <v>91</v>
      </c>
      <c r="S16" s="6">
        <v>0</v>
      </c>
    </row>
    <row r="17" spans="1:19" s="4" customFormat="1">
      <c r="A17" s="4" t="s">
        <v>22</v>
      </c>
      <c r="B17" s="4">
        <v>5</v>
      </c>
      <c r="C17" s="6">
        <v>862</v>
      </c>
      <c r="D17" s="6">
        <v>2746</v>
      </c>
      <c r="E17" s="7">
        <f t="shared" si="0"/>
        <v>3608</v>
      </c>
      <c r="F17" s="6">
        <v>420</v>
      </c>
      <c r="G17" s="6">
        <v>1445</v>
      </c>
      <c r="H17" s="6">
        <v>410</v>
      </c>
      <c r="I17" s="6">
        <v>1298</v>
      </c>
      <c r="J17" s="7">
        <f t="shared" si="1"/>
        <v>3573</v>
      </c>
      <c r="K17" s="6">
        <v>266</v>
      </c>
      <c r="L17" s="6">
        <v>386</v>
      </c>
      <c r="M17" s="6">
        <v>287</v>
      </c>
      <c r="N17" s="6">
        <v>926</v>
      </c>
      <c r="O17" s="7">
        <f t="shared" si="2"/>
        <v>1865</v>
      </c>
      <c r="P17" s="6">
        <v>3798</v>
      </c>
      <c r="Q17" s="6">
        <v>7742.15</v>
      </c>
      <c r="R17" s="6">
        <v>38</v>
      </c>
      <c r="S17" s="6">
        <v>0</v>
      </c>
    </row>
    <row r="18" spans="1:19" s="4" customFormat="1">
      <c r="A18" s="4" t="s">
        <v>23</v>
      </c>
      <c r="B18" s="4">
        <v>1</v>
      </c>
      <c r="C18" s="6">
        <v>1309</v>
      </c>
      <c r="D18" s="6">
        <v>5019</v>
      </c>
      <c r="E18" s="7">
        <f t="shared" si="0"/>
        <v>6328</v>
      </c>
      <c r="F18" s="6">
        <v>879</v>
      </c>
      <c r="G18" s="6">
        <v>3611</v>
      </c>
      <c r="H18" s="6">
        <v>390</v>
      </c>
      <c r="I18" s="6">
        <v>1330</v>
      </c>
      <c r="J18" s="7">
        <f t="shared" si="1"/>
        <v>6210</v>
      </c>
      <c r="K18" s="6">
        <v>491</v>
      </c>
      <c r="L18" s="6">
        <v>910</v>
      </c>
      <c r="M18" s="6">
        <v>761</v>
      </c>
      <c r="N18" s="6">
        <v>2307</v>
      </c>
      <c r="O18" s="7">
        <f t="shared" si="2"/>
        <v>4469</v>
      </c>
      <c r="P18" s="6">
        <v>7543</v>
      </c>
      <c r="Q18" s="6">
        <v>6260.92</v>
      </c>
      <c r="R18" s="6">
        <v>0</v>
      </c>
      <c r="S18" s="6">
        <v>6</v>
      </c>
    </row>
    <row r="19" spans="1:19" s="4" customFormat="1">
      <c r="A19" s="4" t="s">
        <v>23</v>
      </c>
      <c r="B19" s="4">
        <v>2</v>
      </c>
      <c r="C19" s="6">
        <v>1019</v>
      </c>
      <c r="D19" s="6">
        <v>3767</v>
      </c>
      <c r="E19" s="7">
        <f t="shared" si="0"/>
        <v>4786</v>
      </c>
      <c r="F19" s="6">
        <v>680</v>
      </c>
      <c r="G19" s="6">
        <v>2482</v>
      </c>
      <c r="H19" s="6">
        <v>261</v>
      </c>
      <c r="I19" s="6">
        <v>996</v>
      </c>
      <c r="J19" s="7">
        <f t="shared" si="1"/>
        <v>4419</v>
      </c>
      <c r="K19" s="6">
        <v>461</v>
      </c>
      <c r="L19" s="6">
        <v>650</v>
      </c>
      <c r="M19" s="6">
        <v>527</v>
      </c>
      <c r="N19" s="6">
        <v>1524</v>
      </c>
      <c r="O19" s="7">
        <f t="shared" si="2"/>
        <v>3162</v>
      </c>
      <c r="P19" s="6">
        <v>4839</v>
      </c>
      <c r="Q19" s="6">
        <v>4747.76</v>
      </c>
      <c r="R19" s="6">
        <v>1415</v>
      </c>
      <c r="S19" s="6">
        <v>34</v>
      </c>
    </row>
    <row r="20" spans="1:19" s="4" customFormat="1">
      <c r="A20" s="4" t="s">
        <v>23</v>
      </c>
      <c r="B20" s="4">
        <v>3</v>
      </c>
      <c r="C20" s="6">
        <v>882</v>
      </c>
      <c r="D20" s="6">
        <v>2296</v>
      </c>
      <c r="E20" s="7">
        <f t="shared" si="0"/>
        <v>3178</v>
      </c>
      <c r="F20" s="6">
        <v>450</v>
      </c>
      <c r="G20" s="6">
        <v>1346</v>
      </c>
      <c r="H20" s="6">
        <v>203</v>
      </c>
      <c r="I20" s="6">
        <v>615</v>
      </c>
      <c r="J20" s="7">
        <f t="shared" si="1"/>
        <v>2614</v>
      </c>
      <c r="K20" s="6">
        <v>271</v>
      </c>
      <c r="L20" s="6">
        <v>356</v>
      </c>
      <c r="M20" s="6">
        <v>294</v>
      </c>
      <c r="N20" s="6">
        <v>875</v>
      </c>
      <c r="O20" s="7">
        <f t="shared" si="2"/>
        <v>1796</v>
      </c>
      <c r="P20" s="6">
        <v>2951</v>
      </c>
      <c r="Q20" s="6">
        <v>5260.43</v>
      </c>
      <c r="R20" s="6">
        <v>1412</v>
      </c>
      <c r="S20" s="6">
        <v>0</v>
      </c>
    </row>
    <row r="21" spans="1:19" s="4" customFormat="1">
      <c r="A21" s="4" t="s">
        <v>23</v>
      </c>
      <c r="B21" s="4">
        <v>4</v>
      </c>
      <c r="C21" s="6">
        <v>826</v>
      </c>
      <c r="D21" s="6">
        <v>2848</v>
      </c>
      <c r="E21" s="7">
        <f t="shared" si="0"/>
        <v>3674</v>
      </c>
      <c r="F21" s="6">
        <v>495</v>
      </c>
      <c r="G21" s="6">
        <v>1751</v>
      </c>
      <c r="H21" s="6">
        <v>250</v>
      </c>
      <c r="I21" s="6">
        <v>817</v>
      </c>
      <c r="J21" s="7">
        <f t="shared" si="1"/>
        <v>3313</v>
      </c>
      <c r="K21" s="6">
        <v>326</v>
      </c>
      <c r="L21" s="6">
        <v>480</v>
      </c>
      <c r="M21" s="6">
        <v>342</v>
      </c>
      <c r="N21" s="6">
        <v>1107</v>
      </c>
      <c r="O21" s="7">
        <f t="shared" si="2"/>
        <v>2255</v>
      </c>
      <c r="P21" s="6">
        <v>3094</v>
      </c>
      <c r="Q21" s="6">
        <v>6281.08</v>
      </c>
      <c r="R21" s="6">
        <v>104</v>
      </c>
      <c r="S21" s="6">
        <v>0</v>
      </c>
    </row>
    <row r="22" spans="1:19" s="4" customFormat="1">
      <c r="A22" s="4" t="s">
        <v>23</v>
      </c>
      <c r="B22" s="4">
        <v>5</v>
      </c>
      <c r="C22" s="6">
        <v>736</v>
      </c>
      <c r="D22" s="6">
        <v>2899</v>
      </c>
      <c r="E22" s="7">
        <f t="shared" si="0"/>
        <v>3635</v>
      </c>
      <c r="F22" s="6">
        <v>414</v>
      </c>
      <c r="G22" s="6">
        <v>1511</v>
      </c>
      <c r="H22" s="6">
        <v>194</v>
      </c>
      <c r="I22" s="6">
        <v>834</v>
      </c>
      <c r="J22" s="7">
        <f t="shared" si="1"/>
        <v>2953</v>
      </c>
      <c r="K22" s="6">
        <v>283</v>
      </c>
      <c r="L22" s="6">
        <v>382</v>
      </c>
      <c r="M22" s="6">
        <v>286</v>
      </c>
      <c r="N22" s="6">
        <v>1007</v>
      </c>
      <c r="O22" s="7">
        <f t="shared" si="2"/>
        <v>1958</v>
      </c>
      <c r="P22" s="6">
        <v>2802</v>
      </c>
      <c r="Q22" s="6">
        <v>5787.74</v>
      </c>
      <c r="R22" s="6">
        <v>0</v>
      </c>
      <c r="S22" s="6">
        <v>0</v>
      </c>
    </row>
    <row r="23" spans="1:19" s="4" customFormat="1">
      <c r="A23" s="4" t="s">
        <v>24</v>
      </c>
      <c r="B23" s="4">
        <v>1</v>
      </c>
      <c r="C23" s="6">
        <v>1324</v>
      </c>
      <c r="D23" s="6">
        <v>3871</v>
      </c>
      <c r="E23" s="7">
        <f t="shared" si="0"/>
        <v>5195</v>
      </c>
      <c r="F23" s="6">
        <v>955</v>
      </c>
      <c r="G23" s="6">
        <v>3012</v>
      </c>
      <c r="H23" s="6">
        <v>403</v>
      </c>
      <c r="I23" s="6">
        <v>1354</v>
      </c>
      <c r="J23" s="7">
        <f t="shared" si="1"/>
        <v>5724</v>
      </c>
      <c r="K23" s="6">
        <v>437</v>
      </c>
      <c r="L23" s="6">
        <v>989</v>
      </c>
      <c r="M23" s="6">
        <v>753</v>
      </c>
      <c r="N23" s="6">
        <v>1584</v>
      </c>
      <c r="O23" s="7">
        <f t="shared" si="2"/>
        <v>3763</v>
      </c>
      <c r="P23" s="6">
        <v>4617</v>
      </c>
      <c r="Q23" s="6">
        <v>9367.61</v>
      </c>
      <c r="R23" s="6">
        <v>253</v>
      </c>
      <c r="S23" s="6">
        <v>393.25</v>
      </c>
    </row>
    <row r="24" spans="1:19" s="4" customFormat="1">
      <c r="A24" s="4" t="s">
        <v>24</v>
      </c>
      <c r="B24" s="4">
        <v>2</v>
      </c>
      <c r="C24" s="6">
        <v>910</v>
      </c>
      <c r="D24" s="6">
        <v>3155</v>
      </c>
      <c r="E24" s="7">
        <f t="shared" si="0"/>
        <v>4065</v>
      </c>
      <c r="F24" s="6">
        <v>674</v>
      </c>
      <c r="G24" s="6">
        <v>2225</v>
      </c>
      <c r="H24" s="6">
        <v>214</v>
      </c>
      <c r="I24" s="6">
        <v>885</v>
      </c>
      <c r="J24" s="7">
        <f t="shared" si="1"/>
        <v>3998</v>
      </c>
      <c r="K24" s="6">
        <v>333</v>
      </c>
      <c r="L24" s="6">
        <v>755</v>
      </c>
      <c r="M24" s="6">
        <v>537</v>
      </c>
      <c r="N24" s="6">
        <v>1267</v>
      </c>
      <c r="O24" s="7">
        <f t="shared" si="2"/>
        <v>2892</v>
      </c>
      <c r="P24" s="6">
        <v>5329</v>
      </c>
      <c r="Q24" s="6">
        <v>10014.91</v>
      </c>
      <c r="R24" s="6">
        <v>127</v>
      </c>
      <c r="S24" s="6">
        <v>1.5</v>
      </c>
    </row>
    <row r="25" spans="1:19" s="4" customFormat="1">
      <c r="A25" s="4" t="s">
        <v>24</v>
      </c>
      <c r="B25" s="4">
        <v>3</v>
      </c>
      <c r="C25" s="6">
        <v>782</v>
      </c>
      <c r="D25" s="6">
        <v>2233</v>
      </c>
      <c r="E25" s="7">
        <f t="shared" si="0"/>
        <v>3015</v>
      </c>
      <c r="F25" s="6">
        <v>446</v>
      </c>
      <c r="G25" s="6">
        <v>1355</v>
      </c>
      <c r="H25" s="6">
        <v>263</v>
      </c>
      <c r="I25" s="6">
        <v>738</v>
      </c>
      <c r="J25" s="7">
        <f t="shared" si="1"/>
        <v>2802</v>
      </c>
      <c r="K25" s="6">
        <v>225</v>
      </c>
      <c r="L25" s="6">
        <v>462</v>
      </c>
      <c r="M25" s="6">
        <v>315</v>
      </c>
      <c r="N25" s="6">
        <v>794</v>
      </c>
      <c r="O25" s="7">
        <f t="shared" si="2"/>
        <v>1796</v>
      </c>
      <c r="P25" s="6">
        <v>2489</v>
      </c>
      <c r="Q25" s="6">
        <v>10503.2</v>
      </c>
      <c r="R25" s="6">
        <v>777</v>
      </c>
      <c r="S25" s="6">
        <v>219.5</v>
      </c>
    </row>
    <row r="26" spans="1:19" s="4" customFormat="1">
      <c r="A26" s="4" t="s">
        <v>24</v>
      </c>
      <c r="B26" s="4">
        <v>4</v>
      </c>
      <c r="C26" s="6">
        <v>905</v>
      </c>
      <c r="D26" s="6">
        <v>2668</v>
      </c>
      <c r="E26" s="7">
        <f t="shared" si="0"/>
        <v>3573</v>
      </c>
      <c r="F26" s="6">
        <v>499</v>
      </c>
      <c r="G26" s="6">
        <v>1529</v>
      </c>
      <c r="H26" s="6">
        <v>357</v>
      </c>
      <c r="I26" s="6">
        <v>1035</v>
      </c>
      <c r="J26" s="7">
        <f t="shared" si="1"/>
        <v>3420</v>
      </c>
      <c r="K26" s="6">
        <v>279</v>
      </c>
      <c r="L26" s="6">
        <v>454</v>
      </c>
      <c r="M26" s="6">
        <v>314</v>
      </c>
      <c r="N26" s="6">
        <v>981</v>
      </c>
      <c r="O26" s="7">
        <f t="shared" si="2"/>
        <v>2028</v>
      </c>
      <c r="P26" s="6">
        <v>5577</v>
      </c>
      <c r="Q26" s="6">
        <v>9900</v>
      </c>
      <c r="R26" s="6">
        <v>138</v>
      </c>
      <c r="S26" s="6">
        <v>10</v>
      </c>
    </row>
    <row r="27" spans="1:19" s="4" customFormat="1">
      <c r="A27" s="4" t="s">
        <v>24</v>
      </c>
      <c r="B27" s="4">
        <v>5</v>
      </c>
      <c r="C27" s="6">
        <v>800</v>
      </c>
      <c r="D27" s="6">
        <v>2514</v>
      </c>
      <c r="E27" s="7">
        <f t="shared" si="0"/>
        <v>3314</v>
      </c>
      <c r="F27" s="6">
        <v>467</v>
      </c>
      <c r="G27" s="6">
        <v>1617</v>
      </c>
      <c r="H27" s="6">
        <v>403</v>
      </c>
      <c r="I27" s="6">
        <v>1212</v>
      </c>
      <c r="J27" s="7">
        <f t="shared" si="1"/>
        <v>3699</v>
      </c>
      <c r="K27" s="6">
        <v>242</v>
      </c>
      <c r="L27" s="6">
        <v>483</v>
      </c>
      <c r="M27" s="6">
        <v>401</v>
      </c>
      <c r="N27" s="6">
        <v>959</v>
      </c>
      <c r="O27" s="7">
        <f t="shared" si="2"/>
        <v>2085</v>
      </c>
      <c r="P27" s="6">
        <v>4449</v>
      </c>
      <c r="Q27" s="6">
        <v>8838.51</v>
      </c>
      <c r="R27" s="6">
        <v>0</v>
      </c>
      <c r="S27" s="6">
        <v>21</v>
      </c>
    </row>
    <row r="28" spans="1:19" s="4" customFormat="1">
      <c r="A28" s="4" t="s">
        <v>25</v>
      </c>
      <c r="B28" s="4">
        <v>1</v>
      </c>
      <c r="C28" s="6">
        <v>675</v>
      </c>
      <c r="D28" s="6">
        <v>1917</v>
      </c>
      <c r="E28" s="7">
        <f t="shared" si="0"/>
        <v>2592</v>
      </c>
      <c r="F28" s="6">
        <v>472</v>
      </c>
      <c r="G28" s="6">
        <v>1368</v>
      </c>
      <c r="H28" s="6">
        <v>153</v>
      </c>
      <c r="I28" s="6">
        <v>408</v>
      </c>
      <c r="J28" s="7">
        <f t="shared" si="1"/>
        <v>2401</v>
      </c>
      <c r="K28" s="6">
        <v>264</v>
      </c>
      <c r="L28" s="6">
        <v>413</v>
      </c>
      <c r="M28" s="6">
        <v>360</v>
      </c>
      <c r="N28" s="6">
        <v>803</v>
      </c>
      <c r="O28" s="7">
        <f t="shared" si="2"/>
        <v>1840</v>
      </c>
      <c r="P28" s="6">
        <v>1470</v>
      </c>
      <c r="Q28" s="6">
        <v>3944</v>
      </c>
      <c r="R28" s="6">
        <v>152</v>
      </c>
      <c r="S28" s="6">
        <v>0</v>
      </c>
    </row>
    <row r="29" spans="1:19" s="4" customFormat="1">
      <c r="A29" s="4" t="s">
        <v>25</v>
      </c>
      <c r="B29" s="4">
        <v>2</v>
      </c>
      <c r="C29" s="6">
        <v>597</v>
      </c>
      <c r="D29" s="6">
        <v>1757</v>
      </c>
      <c r="E29" s="7">
        <f t="shared" si="0"/>
        <v>2354</v>
      </c>
      <c r="F29" s="6">
        <v>391</v>
      </c>
      <c r="G29" s="6">
        <v>1222</v>
      </c>
      <c r="H29" s="6">
        <v>119</v>
      </c>
      <c r="I29" s="6">
        <v>263</v>
      </c>
      <c r="J29" s="7">
        <f t="shared" si="1"/>
        <v>1995</v>
      </c>
      <c r="K29" s="6">
        <v>233</v>
      </c>
      <c r="L29" s="6">
        <v>381</v>
      </c>
      <c r="M29" s="6">
        <v>305</v>
      </c>
      <c r="N29" s="6">
        <v>695</v>
      </c>
      <c r="O29" s="7">
        <f t="shared" si="2"/>
        <v>1614</v>
      </c>
      <c r="P29" s="6">
        <v>1454</v>
      </c>
      <c r="Q29" s="6">
        <v>4023.75</v>
      </c>
      <c r="R29" s="6">
        <v>239</v>
      </c>
      <c r="S29" s="6">
        <v>0</v>
      </c>
    </row>
    <row r="30" spans="1:19" s="4" customFormat="1">
      <c r="A30" s="4" t="s">
        <v>25</v>
      </c>
      <c r="B30" s="4">
        <v>3</v>
      </c>
      <c r="C30" s="6">
        <v>453</v>
      </c>
      <c r="D30" s="6">
        <v>1398</v>
      </c>
      <c r="E30" s="7">
        <f t="shared" si="0"/>
        <v>1851</v>
      </c>
      <c r="F30" s="6">
        <v>238</v>
      </c>
      <c r="G30" s="6">
        <v>741</v>
      </c>
      <c r="H30" s="6">
        <v>61</v>
      </c>
      <c r="I30" s="6">
        <v>222</v>
      </c>
      <c r="J30" s="7">
        <f t="shared" si="1"/>
        <v>1262</v>
      </c>
      <c r="K30" s="6">
        <v>133</v>
      </c>
      <c r="L30" s="6">
        <v>239</v>
      </c>
      <c r="M30" s="6">
        <v>212</v>
      </c>
      <c r="N30" s="6">
        <v>407</v>
      </c>
      <c r="O30" s="7">
        <f t="shared" si="2"/>
        <v>991</v>
      </c>
      <c r="P30" s="6">
        <v>1340</v>
      </c>
      <c r="Q30" s="6">
        <v>4319.5</v>
      </c>
      <c r="R30" s="6">
        <v>490</v>
      </c>
      <c r="S30" s="6">
        <v>28</v>
      </c>
    </row>
    <row r="31" spans="1:19" s="4" customFormat="1">
      <c r="A31" s="4" t="s">
        <v>25</v>
      </c>
      <c r="B31" s="4">
        <v>4</v>
      </c>
      <c r="C31" s="6">
        <v>647</v>
      </c>
      <c r="D31" s="6">
        <v>1468</v>
      </c>
      <c r="E31" s="7">
        <f t="shared" si="0"/>
        <v>2115</v>
      </c>
      <c r="F31" s="6">
        <v>453</v>
      </c>
      <c r="G31" s="6">
        <v>1058</v>
      </c>
      <c r="H31" s="6">
        <v>162</v>
      </c>
      <c r="I31" s="6">
        <v>394</v>
      </c>
      <c r="J31" s="7">
        <f t="shared" si="1"/>
        <v>2067</v>
      </c>
      <c r="K31" s="6">
        <v>266</v>
      </c>
      <c r="L31" s="6">
        <v>359</v>
      </c>
      <c r="M31" s="6">
        <v>240</v>
      </c>
      <c r="N31" s="6">
        <v>642</v>
      </c>
      <c r="O31" s="7">
        <f t="shared" si="2"/>
        <v>1507</v>
      </c>
      <c r="P31" s="6">
        <v>2056</v>
      </c>
      <c r="Q31" s="6">
        <v>4552.3</v>
      </c>
      <c r="R31" s="6">
        <v>140</v>
      </c>
      <c r="S31" s="6">
        <v>0</v>
      </c>
    </row>
    <row r="32" spans="1:19" s="4" customFormat="1">
      <c r="A32" s="4" t="s">
        <v>25</v>
      </c>
      <c r="B32" s="4">
        <v>5</v>
      </c>
      <c r="C32" s="6">
        <v>666</v>
      </c>
      <c r="D32" s="6">
        <v>1682</v>
      </c>
      <c r="E32" s="7">
        <f t="shared" si="0"/>
        <v>2348</v>
      </c>
      <c r="F32" s="6">
        <v>491</v>
      </c>
      <c r="G32" s="6">
        <v>1220</v>
      </c>
      <c r="H32" s="6">
        <v>149</v>
      </c>
      <c r="I32" s="6">
        <v>404</v>
      </c>
      <c r="J32" s="7">
        <f t="shared" si="1"/>
        <v>2264</v>
      </c>
      <c r="K32" s="6">
        <v>282</v>
      </c>
      <c r="L32" s="6">
        <v>387</v>
      </c>
      <c r="M32" s="6">
        <v>253</v>
      </c>
      <c r="N32" s="6">
        <v>778</v>
      </c>
      <c r="O32" s="7">
        <f t="shared" si="2"/>
        <v>1700</v>
      </c>
      <c r="P32" s="6">
        <v>1987</v>
      </c>
      <c r="Q32" s="6">
        <v>4283.7</v>
      </c>
      <c r="R32" s="6">
        <v>0</v>
      </c>
      <c r="S32" s="6">
        <v>0</v>
      </c>
    </row>
    <row r="33" spans="16:19">
      <c r="P33" s="6"/>
      <c r="Q33" s="6"/>
      <c r="R33" s="6"/>
      <c r="S33" s="6"/>
    </row>
    <row r="34" spans="16:19">
      <c r="P34" s="6"/>
      <c r="Q34" s="6"/>
      <c r="R34" s="6"/>
      <c r="S34" s="6"/>
    </row>
    <row r="35" spans="16:19">
      <c r="P35" s="6"/>
      <c r="Q35" s="6"/>
      <c r="R35" s="6"/>
      <c r="S35" s="6"/>
    </row>
    <row r="36" spans="16:19">
      <c r="P36" s="6"/>
      <c r="Q36" s="6"/>
      <c r="R36" s="6"/>
      <c r="S36" s="6"/>
    </row>
    <row r="37" spans="16:19">
      <c r="P37" s="6"/>
      <c r="Q37" s="6"/>
      <c r="R37" s="6"/>
      <c r="S37" s="6"/>
    </row>
    <row r="38" spans="16:19">
      <c r="P38" s="6"/>
      <c r="Q38" s="6"/>
      <c r="R38" s="6"/>
      <c r="S38" s="6"/>
    </row>
    <row r="39" spans="16:19">
      <c r="P39" s="6"/>
      <c r="Q39" s="6"/>
      <c r="R39" s="6"/>
      <c r="S39" s="6"/>
    </row>
    <row r="40" spans="16:19">
      <c r="P40" s="6"/>
      <c r="Q40" s="6"/>
      <c r="R40" s="6"/>
      <c r="S40" s="6"/>
    </row>
    <row r="41" spans="16:19">
      <c r="P41" s="6"/>
      <c r="Q41" s="6"/>
      <c r="R41" s="6"/>
      <c r="S41" s="6"/>
    </row>
    <row r="42" spans="16:19">
      <c r="P42" s="6"/>
      <c r="Q42" s="6"/>
      <c r="R42" s="6"/>
      <c r="S42" s="6"/>
    </row>
    <row r="43" spans="16:19">
      <c r="P43" s="6"/>
      <c r="Q43" s="6"/>
      <c r="R43" s="6"/>
      <c r="S43" s="6"/>
    </row>
    <row r="44" spans="16:19">
      <c r="P44" s="6"/>
      <c r="Q44" s="6"/>
      <c r="R44" s="6"/>
      <c r="S44" s="6"/>
    </row>
    <row r="45" spans="16:19">
      <c r="P45" s="6"/>
      <c r="Q45" s="6"/>
      <c r="R45" s="6"/>
      <c r="S45" s="6"/>
    </row>
    <row r="46" spans="16:19">
      <c r="P46" s="6"/>
      <c r="Q46" s="6"/>
      <c r="R46" s="6"/>
      <c r="S46" s="6"/>
    </row>
    <row r="47" spans="16:19">
      <c r="P47" s="6"/>
      <c r="Q47" s="6"/>
      <c r="R47" s="6"/>
      <c r="S47" s="6"/>
    </row>
    <row r="48" spans="16:19">
      <c r="P48" s="6"/>
      <c r="Q48" s="6"/>
      <c r="R48" s="6"/>
      <c r="S48" s="6"/>
    </row>
    <row r="49" spans="16:19">
      <c r="P49" s="6"/>
      <c r="Q49" s="6"/>
      <c r="R49" s="6"/>
      <c r="S49" s="6"/>
    </row>
    <row r="50" spans="16:19">
      <c r="P50" s="6"/>
      <c r="Q50" s="6"/>
      <c r="R50" s="6"/>
      <c r="S50" s="6"/>
    </row>
    <row r="51" spans="16:19">
      <c r="P51" s="6"/>
      <c r="Q51" s="6"/>
      <c r="R51" s="6"/>
      <c r="S51" s="6"/>
    </row>
    <row r="52" spans="16:19">
      <c r="P52" s="6"/>
      <c r="Q52" s="6"/>
      <c r="R52" s="6"/>
      <c r="S52" s="6"/>
    </row>
    <row r="53" spans="16:19">
      <c r="P53" s="6"/>
      <c r="Q53" s="6"/>
      <c r="R53" s="6"/>
      <c r="S53" s="6"/>
    </row>
    <row r="54" spans="16:19">
      <c r="P54" s="6"/>
      <c r="Q54" s="6"/>
      <c r="R54" s="6"/>
      <c r="S54" s="6"/>
    </row>
    <row r="55" spans="16:19">
      <c r="P55" s="6"/>
      <c r="Q55" s="6"/>
      <c r="R55" s="6"/>
      <c r="S55" s="6"/>
    </row>
    <row r="56" spans="16:19">
      <c r="P56" s="6"/>
      <c r="Q56" s="6"/>
      <c r="R56" s="6"/>
      <c r="S56" s="6"/>
    </row>
    <row r="57" spans="16:19">
      <c r="P57" s="6"/>
      <c r="Q57" s="6"/>
      <c r="R57" s="6"/>
      <c r="S57" s="6"/>
    </row>
    <row r="58" spans="16:19">
      <c r="P58" s="6"/>
      <c r="Q58" s="6"/>
      <c r="R58" s="6"/>
      <c r="S58" s="6"/>
    </row>
    <row r="59" spans="16:19">
      <c r="P59" s="6"/>
      <c r="Q59" s="6"/>
      <c r="R59" s="6"/>
      <c r="S59" s="6"/>
    </row>
    <row r="60" spans="16:19">
      <c r="P60" s="6"/>
      <c r="Q60" s="6"/>
      <c r="R60" s="6"/>
      <c r="S60" s="6"/>
    </row>
    <row r="61" spans="16:19">
      <c r="P61" s="6"/>
      <c r="Q61" s="6"/>
      <c r="R61" s="6"/>
      <c r="S61" s="6"/>
    </row>
    <row r="62" spans="16:19">
      <c r="P62" s="6"/>
      <c r="Q62" s="6"/>
      <c r="R62" s="6"/>
      <c r="S62" s="6"/>
    </row>
    <row r="63" spans="16:19">
      <c r="P63" s="6"/>
      <c r="Q63" s="6"/>
      <c r="R63" s="6"/>
      <c r="S63" s="6"/>
    </row>
    <row r="64" spans="16:19">
      <c r="P64" s="6"/>
      <c r="Q64" s="6"/>
      <c r="R64" s="6"/>
      <c r="S64" s="6"/>
    </row>
    <row r="65" spans="16:19">
      <c r="P65" s="6"/>
      <c r="Q65" s="6"/>
      <c r="R65" s="6"/>
      <c r="S65" s="6"/>
    </row>
    <row r="66" spans="16:19">
      <c r="P66" s="6"/>
      <c r="Q66" s="6"/>
      <c r="R66" s="6"/>
      <c r="S66" s="6"/>
    </row>
    <row r="67" spans="16:19">
      <c r="P67" s="6"/>
      <c r="Q67" s="6"/>
      <c r="R67" s="6"/>
      <c r="S67" s="6"/>
    </row>
    <row r="68" spans="16:19">
      <c r="P68" s="6"/>
      <c r="Q68" s="6"/>
      <c r="R68" s="6"/>
      <c r="S68" s="6"/>
    </row>
    <row r="69" spans="16:19">
      <c r="P69" s="6"/>
      <c r="Q69" s="6"/>
      <c r="R69" s="6"/>
      <c r="S69" s="6"/>
    </row>
    <row r="70" spans="16:19">
      <c r="P70" s="6"/>
      <c r="Q70" s="6"/>
      <c r="R70" s="6"/>
      <c r="S70" s="6"/>
    </row>
    <row r="71" spans="16:19">
      <c r="P71" s="6"/>
      <c r="Q71" s="6"/>
      <c r="R71" s="6"/>
      <c r="S71" s="6"/>
    </row>
    <row r="72" spans="16:19">
      <c r="P72" s="6"/>
      <c r="Q72" s="6"/>
      <c r="R72" s="6"/>
      <c r="S72" s="6"/>
    </row>
    <row r="73" spans="16:19">
      <c r="P73" s="6"/>
      <c r="Q73" s="6"/>
      <c r="R73" s="6"/>
      <c r="S73" s="6"/>
    </row>
    <row r="74" spans="16:19">
      <c r="P74" s="6"/>
      <c r="Q74" s="6"/>
      <c r="R74" s="6"/>
      <c r="S74" s="6"/>
    </row>
  </sheetData>
  <mergeCells count="1">
    <mergeCell ref="A1:O1"/>
  </mergeCells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15196813FE84F8C76FC877A3958FA" ma:contentTypeVersion="12" ma:contentTypeDescription="Create a new document." ma:contentTypeScope="" ma:versionID="d33f9bdd36b7049ca4cb831de805bffe">
  <xsd:schema xmlns:xsd="http://www.w3.org/2001/XMLSchema" xmlns:xs="http://www.w3.org/2001/XMLSchema" xmlns:p="http://schemas.microsoft.com/office/2006/metadata/properties" xmlns:ns2="7da81480-be39-4097-981f-3949b06efdc9" xmlns:ns3="da0fb1e6-f681-42cb-b99b-a67ca30d17f1" targetNamespace="http://schemas.microsoft.com/office/2006/metadata/properties" ma:root="true" ma:fieldsID="92e61bd69925c2273d577d5239f09f9d" ns2:_="" ns3:_="">
    <xsd:import namespace="7da81480-be39-4097-981f-3949b06efdc9"/>
    <xsd:import namespace="da0fb1e6-f681-42cb-b99b-a67ca30d1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81480-be39-4097-981f-3949b06e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fb1e6-f681-42cb-b99b-a67ca30d17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324366-7548-42d6-95cc-aff60a0048ee}" ma:internalName="TaxCatchAll" ma:showField="CatchAllData" ma:web="da0fb1e6-f681-42cb-b99b-a67ca30d1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7379D5-AA32-4591-B267-41107FA634AA}"/>
</file>

<file path=customXml/itemProps2.xml><?xml version="1.0" encoding="utf-8"?>
<ds:datastoreItem xmlns:ds="http://schemas.openxmlformats.org/officeDocument/2006/customXml" ds:itemID="{02C78F03-471E-419B-BF61-CCB85919F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2026-08-06T23:12:26Z</dcterms:created>
  <dcterms:modified xsi:type="dcterms:W3CDTF">2026-08-06T23:12:33Z</dcterms:modified>
  <cp:category/>
  <cp:contentStatus/>
</cp:coreProperties>
</file>